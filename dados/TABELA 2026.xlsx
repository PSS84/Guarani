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G:\Meu Drive\GUARANI\COMERCIAL\TABELA DE PREÇO\"/>
    </mc:Choice>
  </mc:AlternateContent>
  <xr:revisionPtr revIDLastSave="0" documentId="13_ncr:1_{02CA80DD-4F7F-4F2C-A871-A6D36F875BED}" xr6:coauthVersionLast="47" xr6:coauthVersionMax="47" xr10:uidLastSave="{00000000-0000-0000-0000-000000000000}"/>
  <bookViews>
    <workbookView xWindow="-21720" yWindow="660" windowWidth="21840" windowHeight="13020" tabRatio="839" xr2:uid="{E220A367-2A4E-4550-8C2C-C51967AD76E4}"/>
  </bookViews>
  <sheets>
    <sheet name="2026" sheetId="1" r:id="rId1"/>
    <sheet name="CalculadoraComissão" sheetId="8" r:id="rId2"/>
    <sheet name="Cloud ICUS " sheetId="15" r:id="rId3"/>
    <sheet name="Cloud ICUS - Ref" sheetId="13" r:id="rId4"/>
    <sheet name="CalculadoraCloud" sheetId="4" r:id="rId5"/>
    <sheet name="CalculadoraAFV" sheetId="10" r:id="rId6"/>
    <sheet name="Descritivo Produtos" sheetId="9" r:id="rId7"/>
    <sheet name="Gatilhos de Contrato" sheetId="12" r:id="rId8"/>
    <sheet name="Regras" sheetId="7" r:id="rId9"/>
    <sheet name="Informativo Gestor" sheetId="5" state="hidden" r:id="rId10"/>
    <sheet name="PDV Marcelo" sheetId="6" state="hidden" r:id="rId11"/>
    <sheet name="Apoio" sheetId="3" r:id="rId12"/>
    <sheet name="PM BI" sheetId="11" r:id="rId13"/>
    <sheet name="||" sheetId="14" r:id="rId14"/>
  </sheets>
  <definedNames>
    <definedName name="_xlnm.Print_Area" localSheetId="0">'2026'!$A$1:$H$85</definedName>
    <definedName name="_xlnm.Print_Area" localSheetId="4">CalculadoraCloud!$A$1:$J$32</definedName>
    <definedName name="_xlnm.Print_Area" localSheetId="6">'Descritivo Produtos'!$A$1:$P$61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5" l="1"/>
  <c r="E10" i="15"/>
  <c r="D59" i="1"/>
  <c r="D58" i="1"/>
  <c r="D57" i="1"/>
  <c r="D56" i="1"/>
  <c r="K63" i="13"/>
  <c r="K70" i="13"/>
  <c r="L6" i="15" a="1"/>
  <c r="L6" i="15" s="1"/>
  <c r="J6" i="15"/>
  <c r="K6" i="15" s="1"/>
  <c r="L7" i="15"/>
  <c r="L5" i="15"/>
  <c r="J7" i="15"/>
  <c r="K7" i="15" s="1"/>
  <c r="E7" i="15"/>
  <c r="E6" i="15"/>
  <c r="E5" i="15"/>
  <c r="J5" i="15" s="1"/>
  <c r="K5" i="15" s="1"/>
  <c r="F25" i="1"/>
  <c r="D25" i="1"/>
  <c r="F16" i="1"/>
  <c r="D16" i="1"/>
  <c r="E66" i="1"/>
  <c r="E69" i="13" l="1"/>
  <c r="E68" i="13"/>
  <c r="K69" i="13" s="1"/>
  <c r="E67" i="13"/>
  <c r="J68" i="13" s="1"/>
  <c r="E62" i="13"/>
  <c r="E61" i="13"/>
  <c r="K62" i="13" s="1"/>
  <c r="E60" i="13"/>
  <c r="K61" i="13" s="1"/>
  <c r="E54" i="13"/>
  <c r="K55" i="13" s="1"/>
  <c r="E53" i="13"/>
  <c r="K54" i="13" s="1"/>
  <c r="E52" i="13"/>
  <c r="J53" i="13" s="1"/>
  <c r="K68" i="13" l="1"/>
  <c r="J69" i="13"/>
  <c r="J70" i="13"/>
  <c r="J62" i="13"/>
  <c r="J61" i="13"/>
  <c r="J63" i="13"/>
  <c r="J54" i="13"/>
  <c r="J55" i="13"/>
  <c r="K53" i="13"/>
  <c r="J12" i="4"/>
  <c r="J13" i="4" s="1"/>
  <c r="J24" i="4"/>
  <c r="J46" i="13"/>
  <c r="E47" i="13"/>
  <c r="K48" i="13" s="1"/>
  <c r="E46" i="13"/>
  <c r="K47" i="13" s="1"/>
  <c r="E45" i="13"/>
  <c r="K46" i="13" s="1"/>
  <c r="E40" i="13"/>
  <c r="K41" i="13" s="1"/>
  <c r="E39" i="13"/>
  <c r="K40" i="13" s="1"/>
  <c r="E38" i="13"/>
  <c r="J39" i="13" s="1"/>
  <c r="E33" i="13"/>
  <c r="K34" i="13" s="1"/>
  <c r="E32" i="13"/>
  <c r="K33" i="13" s="1"/>
  <c r="E31" i="13"/>
  <c r="J32" i="13" s="1"/>
  <c r="E26" i="13"/>
  <c r="J27" i="13" s="1"/>
  <c r="E25" i="13"/>
  <c r="K26" i="13" s="1"/>
  <c r="E24" i="13"/>
  <c r="K25" i="13" s="1"/>
  <c r="J19" i="13"/>
  <c r="E19" i="13"/>
  <c r="J20" i="13" s="1"/>
  <c r="E18" i="13"/>
  <c r="K19" i="13" s="1"/>
  <c r="E17" i="13"/>
  <c r="J18" i="13" s="1"/>
  <c r="E12" i="13"/>
  <c r="K13" i="13" s="1"/>
  <c r="E11" i="13"/>
  <c r="J12" i="13" s="1"/>
  <c r="E10" i="13"/>
  <c r="J11" i="13" s="1"/>
  <c r="F15" i="4"/>
  <c r="E5" i="13"/>
  <c r="J5" i="13" s="1"/>
  <c r="E6" i="13"/>
  <c r="J6" i="13" s="1"/>
  <c r="E4" i="13"/>
  <c r="J4" i="13" s="1"/>
  <c r="K20" i="13" l="1"/>
  <c r="K32" i="13"/>
  <c r="J13" i="13"/>
  <c r="J25" i="13"/>
  <c r="K11" i="13"/>
  <c r="K27" i="13"/>
  <c r="J47" i="13"/>
  <c r="J48" i="13"/>
  <c r="J26" i="13"/>
  <c r="K39" i="13"/>
  <c r="K12" i="13"/>
  <c r="K18" i="13"/>
  <c r="J33" i="13"/>
  <c r="J40" i="13"/>
  <c r="J41" i="13"/>
  <c r="J34" i="13"/>
  <c r="F9" i="4"/>
  <c r="C13" i="8"/>
  <c r="C27" i="4" l="1"/>
  <c r="BE7" i="4"/>
  <c r="D8" i="4" s="1"/>
  <c r="F8" i="4" s="1"/>
  <c r="G27" i="4" s="1"/>
  <c r="E27" i="4"/>
  <c r="D12" i="11"/>
  <c r="D10" i="11"/>
  <c r="D11" i="11" s="1"/>
  <c r="AX10" i="4"/>
  <c r="D9" i="4"/>
  <c r="C5" i="10"/>
  <c r="C6" i="10" s="1"/>
  <c r="C7" i="10" s="1"/>
  <c r="C8" i="10" s="1"/>
  <c r="C9" i="10" s="1"/>
  <c r="C10" i="10" s="1"/>
  <c r="C11" i="10" s="1"/>
  <c r="C12" i="10" s="1"/>
  <c r="C13" i="10" s="1"/>
  <c r="C14" i="10" s="1"/>
  <c r="D14" i="10" s="1"/>
  <c r="I4" i="10"/>
  <c r="H5" i="10" s="1"/>
  <c r="H6" i="10" s="1"/>
  <c r="H7" i="10" s="1"/>
  <c r="H8" i="10" s="1"/>
  <c r="H9" i="10" s="1"/>
  <c r="H10" i="10" s="1"/>
  <c r="H11" i="10" s="1"/>
  <c r="H12" i="10" s="1"/>
  <c r="H13" i="10" s="1"/>
  <c r="H14" i="10" s="1"/>
  <c r="H15" i="10" s="1"/>
  <c r="I15" i="10" s="1"/>
  <c r="U10" i="8"/>
  <c r="U9" i="8"/>
  <c r="O5" i="8"/>
  <c r="O9" i="8" s="1"/>
  <c r="O10" i="8" s="1"/>
  <c r="O13" i="8"/>
  <c r="S8" i="8"/>
  <c r="C5" i="8"/>
  <c r="C9" i="8" s="1"/>
  <c r="C10" i="8" s="1"/>
  <c r="C19" i="8" s="1"/>
  <c r="F27" i="4" l="1"/>
  <c r="AX9" i="4"/>
  <c r="O19" i="8"/>
  <c r="U11" i="8" l="1"/>
  <c r="H11" i="8"/>
  <c r="G11" i="8"/>
  <c r="H10" i="8"/>
  <c r="G10" i="8"/>
  <c r="H9" i="8"/>
  <c r="G9" i="8"/>
  <c r="G8" i="8"/>
  <c r="F8" i="8"/>
  <c r="P50" i="6"/>
  <c r="P49" i="6"/>
  <c r="P48" i="6"/>
  <c r="P47" i="6"/>
  <c r="P43" i="6"/>
  <c r="P44" i="6" s="1"/>
  <c r="P39" i="6"/>
  <c r="P38" i="6"/>
  <c r="P37" i="6"/>
  <c r="P40" i="6" s="1"/>
  <c r="P29" i="6"/>
  <c r="N28" i="6"/>
  <c r="P28" i="6" s="1"/>
  <c r="P21" i="6"/>
  <c r="P20" i="6"/>
  <c r="P22" i="6" s="1"/>
  <c r="P16" i="6"/>
  <c r="P15" i="6"/>
  <c r="P17" i="6" s="1"/>
  <c r="P14" i="6"/>
  <c r="N9" i="6"/>
  <c r="BD7" i="4" l="1"/>
  <c r="AZ3" i="4"/>
  <c r="BA3" i="4" s="1"/>
  <c r="BB7" i="4"/>
  <c r="AX4" i="4"/>
  <c r="AX5" i="4" s="1"/>
  <c r="AX6" i="4" s="1"/>
  <c r="AX7" i="4" s="1"/>
  <c r="BC3" i="4"/>
  <c r="BC7" i="4" s="1"/>
  <c r="AV3" i="4"/>
  <c r="K22" i="3"/>
  <c r="I22" i="3"/>
  <c r="K20" i="3"/>
  <c r="I20" i="3"/>
  <c r="I16" i="3"/>
  <c r="I14" i="3"/>
  <c r="H10" i="3"/>
  <c r="I10" i="3" s="1"/>
  <c r="J10" i="3" s="1"/>
  <c r="C10" i="3"/>
  <c r="F10" i="3" s="1"/>
  <c r="H9" i="3"/>
  <c r="I9" i="3" s="1"/>
  <c r="J9" i="3" s="1"/>
  <c r="F9" i="3"/>
  <c r="D9" i="3"/>
  <c r="C9" i="3"/>
  <c r="I8" i="3"/>
  <c r="J8" i="3" s="1"/>
  <c r="F14" i="3" s="1"/>
  <c r="H8" i="3"/>
  <c r="F8" i="3"/>
  <c r="D8" i="3"/>
  <c r="Q6" i="3"/>
  <c r="N6" i="3"/>
  <c r="L6" i="3"/>
  <c r="F6" i="3"/>
  <c r="D6" i="3"/>
  <c r="T5" i="3"/>
  <c r="Q5" i="3"/>
  <c r="N5" i="3"/>
  <c r="L5" i="3"/>
  <c r="F5" i="3"/>
  <c r="D5" i="3"/>
  <c r="T4" i="3"/>
  <c r="Q4" i="3"/>
  <c r="N4" i="3"/>
  <c r="L4" i="3"/>
  <c r="F4" i="3"/>
  <c r="D4" i="3"/>
  <c r="BA4" i="4" l="1"/>
  <c r="BA5" i="4" s="1"/>
  <c r="BA6" i="4" s="1"/>
  <c r="BA7" i="4" s="1"/>
  <c r="D7" i="4" s="1"/>
  <c r="N14" i="3"/>
  <c r="F20" i="3"/>
  <c r="N20" i="3" s="1"/>
  <c r="P20" i="3" s="1"/>
  <c r="F16" i="3"/>
  <c r="N16" i="3" s="1"/>
  <c r="C11" i="3"/>
  <c r="D10" i="3"/>
  <c r="D13" i="4" l="1"/>
  <c r="F7" i="4"/>
  <c r="AX8" i="4"/>
  <c r="AX11" i="4" s="1"/>
  <c r="F11" i="3"/>
  <c r="H11" i="3"/>
  <c r="I11" i="3" s="1"/>
  <c r="J11" i="3" s="1"/>
  <c r="F22" i="3" s="1"/>
  <c r="N22" i="3" s="1"/>
  <c r="P22" i="3" s="1"/>
  <c r="D11" i="3"/>
  <c r="F10" i="4" l="1"/>
  <c r="G26" i="4"/>
  <c r="D10" i="4"/>
  <c r="G29" i="4" l="1"/>
  <c r="J25" i="4" s="1"/>
  <c r="J26" i="4" s="1"/>
  <c r="G28" i="4"/>
  <c r="F26" i="4" l="1"/>
  <c r="G30"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<sst xmlns="http://schemas.openxmlformats.org/spreadsheetml/2006/main" count="745" uniqueCount="372">
  <si>
    <t xml:space="preserve">QTDE </t>
  </si>
  <si>
    <t>PRODUTOS</t>
  </si>
  <si>
    <t>Guarani ERP</t>
  </si>
  <si>
    <t>Guarani PCP</t>
  </si>
  <si>
    <t>Guarani WMS</t>
  </si>
  <si>
    <t>Guarani Contábil</t>
  </si>
  <si>
    <t>Guarani BI</t>
  </si>
  <si>
    <t>Guarani B2B</t>
  </si>
  <si>
    <t>INFORMATIVO</t>
  </si>
  <si>
    <t>ADICIONAIS DIRETO ERP</t>
  </si>
  <si>
    <t>Importação XML (Mercado Livre Full)</t>
  </si>
  <si>
    <t>Telemarketing</t>
  </si>
  <si>
    <t>ADICIONAIS INDIRETO ERP</t>
  </si>
  <si>
    <t>Concil*</t>
  </si>
  <si>
    <t>Koncili*</t>
  </si>
  <si>
    <t>Routeasy*</t>
  </si>
  <si>
    <t>Link de Pagamento*</t>
  </si>
  <si>
    <t>Pesquisa de Mercado (Coleta + Quiz)</t>
  </si>
  <si>
    <t>Orçamento WEB</t>
  </si>
  <si>
    <t>Agenda / Roteiro de visitas</t>
  </si>
  <si>
    <t>Iara</t>
  </si>
  <si>
    <t>Multilojas</t>
  </si>
  <si>
    <t>Loja B2B</t>
  </si>
  <si>
    <t>Proposta WEB</t>
  </si>
  <si>
    <t>VALOR</t>
  </si>
  <si>
    <t>VALOR UNITÁRIO</t>
  </si>
  <si>
    <t>MENSALIDADE</t>
  </si>
  <si>
    <t>INFORMATIVO GERAL</t>
  </si>
  <si>
    <t>MDFe - Manifestação Eletrônico de Documentos Fiscais</t>
  </si>
  <si>
    <t>CTe- Conhecimento de Transporte Eletrônico</t>
  </si>
  <si>
    <t>MDe - Manifestação do Destinatário</t>
  </si>
  <si>
    <t>Envio de Boleto via Whatsapp</t>
  </si>
  <si>
    <t>projetada pelo setor de projetos</t>
  </si>
  <si>
    <t>Guarani Cloud*</t>
  </si>
  <si>
    <t>BONIFICADO</t>
  </si>
  <si>
    <t>E-commerce - SETUP*</t>
  </si>
  <si>
    <t>Hub Plugg.to*</t>
  </si>
  <si>
    <t>Hub Tray*</t>
  </si>
  <si>
    <t>Hub jetcommerce*</t>
  </si>
  <si>
    <t>Hub Lexos*</t>
  </si>
  <si>
    <t>1. Todas as horas que ultrapassarem a quantidade de horas contratadas serão cobradas de acordo com a tabela de preço vigente;</t>
  </si>
  <si>
    <t>2. Todas as melhorais, será feito orçamento e enviado para aprovação da CONTRATANTE;</t>
  </si>
  <si>
    <t>DESCRITIVOS DOS PRODUTOS</t>
  </si>
  <si>
    <t>HORAS</t>
  </si>
  <si>
    <t>Cloudlet</t>
  </si>
  <si>
    <t>=</t>
  </si>
  <si>
    <t>Mb RAM</t>
  </si>
  <si>
    <t>Mhz CPU</t>
  </si>
  <si>
    <t>Disco</t>
  </si>
  <si>
    <t>R$ por GB/h</t>
  </si>
  <si>
    <t>R$ GB/Mês</t>
  </si>
  <si>
    <t>Trafego</t>
  </si>
  <si>
    <t>R$ Por GB/Mês</t>
  </si>
  <si>
    <t>IP Publico</t>
  </si>
  <si>
    <t>IP / Mês</t>
  </si>
  <si>
    <t>Faixa Cloudlet</t>
  </si>
  <si>
    <t>Reservados R$</t>
  </si>
  <si>
    <t>Dinâmico R$</t>
  </si>
  <si>
    <t>CloudLet</t>
  </si>
  <si>
    <t>Gb RAM</t>
  </si>
  <si>
    <t>Ghz CPU</t>
  </si>
  <si>
    <t>Core</t>
  </si>
  <si>
    <t>p/ Hora</t>
  </si>
  <si>
    <t>p/dia</t>
  </si>
  <si>
    <t>p/mês</t>
  </si>
  <si>
    <t>Instancia Basica Ubuntu</t>
  </si>
  <si>
    <t>R$ p/ Mês</t>
  </si>
  <si>
    <t>Disco Gb</t>
  </si>
  <si>
    <t>Disco R$ /Mês</t>
  </si>
  <si>
    <t>R$ Total / Mês</t>
  </si>
  <si>
    <t>1Gb</t>
  </si>
  <si>
    <t>RAM</t>
  </si>
  <si>
    <t>Escala Até</t>
  </si>
  <si>
    <t>4GB</t>
  </si>
  <si>
    <t>Instancia basica Windows</t>
  </si>
  <si>
    <t>Total W + L</t>
  </si>
  <si>
    <t>user</t>
  </si>
  <si>
    <t>4Gb</t>
  </si>
  <si>
    <t>8Gb</t>
  </si>
  <si>
    <t>Licenças TS Por Usuario</t>
  </si>
  <si>
    <t>Mhz</t>
  </si>
  <si>
    <t>RAM Mb</t>
  </si>
  <si>
    <t>FTP STORAGE = R$35,80 por Mês.</t>
  </si>
  <si>
    <t>Recomendações Microsoft para Usuarios TS no Windows server 64 Mb RAM.</t>
  </si>
  <si>
    <t>Recomendações SaveIncloud por Usuario para acesso TS</t>
  </si>
  <si>
    <t>400Mhz e 128Mb RAM</t>
  </si>
  <si>
    <t>Processo teste utilizado e funcionou sem travamento e com fluidez desejavel.</t>
  </si>
  <si>
    <t>Estação Windows Basica 4Gb RAM e 1CPU</t>
  </si>
  <si>
    <t>4Gb Extra de RAM (2Gb para 10 usuarios e 2 Gb extra para processamentos)</t>
  </si>
  <si>
    <t>1 Maquina 8Gb RAM e 1 VCP = R$395,00</t>
  </si>
  <si>
    <t>Quantidade</t>
  </si>
  <si>
    <t>Periodo</t>
  </si>
  <si>
    <t>Valores</t>
  </si>
  <si>
    <t>Usuarios</t>
  </si>
  <si>
    <t>Gb Maquina</t>
  </si>
  <si>
    <t>Gb</t>
  </si>
  <si>
    <t>Ghz</t>
  </si>
  <si>
    <t>Maquina basica Linux Gb</t>
  </si>
  <si>
    <t>Maquina Basica Windows Gb</t>
  </si>
  <si>
    <t>Necessidade Gb Maquina Usuarios</t>
  </si>
  <si>
    <t>Maquina W Gb RAM</t>
  </si>
  <si>
    <t>Hd Windows Gb</t>
  </si>
  <si>
    <t>Hd Linux Gb</t>
  </si>
  <si>
    <t>TS</t>
  </si>
  <si>
    <t>Numero Usuarios</t>
  </si>
  <si>
    <t>Tamanho do Banco (Gb)</t>
  </si>
  <si>
    <t>Total Custo Maquinas</t>
  </si>
  <si>
    <t>Mês</t>
  </si>
  <si>
    <t>Licenças TS</t>
  </si>
  <si>
    <t>Storage BackUp</t>
  </si>
  <si>
    <t xml:space="preserve">Total </t>
  </si>
  <si>
    <t>Estrutura</t>
  </si>
  <si>
    <t>Maquina Linux Servidor BD Firebird</t>
  </si>
  <si>
    <t>Maquina W Servidor Aplicação Guarani</t>
  </si>
  <si>
    <t>SETUP</t>
  </si>
  <si>
    <t>Guarani Cloud</t>
  </si>
  <si>
    <t>Valor Custo R$</t>
  </si>
  <si>
    <t>Valor Venda R$</t>
  </si>
  <si>
    <t>Fator</t>
  </si>
  <si>
    <t>PROPOSTA - CONDIÇÕES COMERCIAIS</t>
  </si>
  <si>
    <t>MARGEM DE DESCONTO 15%</t>
  </si>
  <si>
    <t>Licenças de acesso ao Guarani Cloud</t>
  </si>
  <si>
    <t>QTDE</t>
  </si>
  <si>
    <t>VLR UNI</t>
  </si>
  <si>
    <t>TOTAL</t>
  </si>
  <si>
    <t>Desconto usado</t>
  </si>
  <si>
    <t xml:space="preserve">Valor Bruto </t>
  </si>
  <si>
    <t>Valor com Desconto</t>
  </si>
  <si>
    <t>Verifique o tamanho do bano junto ao cliente</t>
  </si>
  <si>
    <t>Desconto R$</t>
  </si>
  <si>
    <t>CONDIÇÃO COMERCIAL</t>
  </si>
  <si>
    <t>POLITICA COMERCIAL GUARANI 2024</t>
  </si>
  <si>
    <t>INFORMATIVO GESTOR</t>
  </si>
  <si>
    <t>GUARANI BI</t>
  </si>
  <si>
    <t>A mensalidade pode ser ajustada dependendo o perfil do clinete, P=1500,00 M=1800; G=2160</t>
  </si>
  <si>
    <t>1.	Instalação, integração e treinamento do integrador;
2.	Treinamento da configuração das regras comerciais no cockpit de integração;
3.	Construção da loja na AWS;
4.	Carga de dados;
5.	Configuração da loja no tema padrão;
6.	Teste de homologação;
7.	Configuração e treinamento para importar pedidos
8.	Meios de pagamentos, contratação;</t>
  </si>
  <si>
    <t>GUARANI B2B - CENÁRIO STANDARD</t>
  </si>
  <si>
    <t>CDU/SETUP</t>
  </si>
  <si>
    <t>O SETUP é o valor da mensalidade ERP atual do cliente</t>
  </si>
  <si>
    <t>OBSERVAÇÕES:</t>
  </si>
  <si>
    <t>Está embutido no preço da mensalidade do ERP</t>
  </si>
  <si>
    <t>Atualmetne a CDU está BONIFICADA</t>
  </si>
  <si>
    <t>Existe apresentação e negociação pelo parceiro de aliança</t>
  </si>
  <si>
    <t>HUB ECOMMERCE</t>
  </si>
  <si>
    <t>1.	Danfe simplificada;
2.	Etiqueta de despacho;
3.	Configuração fiscal p/ consumidor;
4.	Emissão do pagamento do difal;
5.	Cadastro e configuração dos market place ;
6.	Instalação e configuração do hub (plugg to ou tray);
7.	Recepção dos pedidos;
8.	Conciliação bancária manual</t>
  </si>
  <si>
    <t>setup configuração</t>
  </si>
  <si>
    <t>SSW*</t>
  </si>
  <si>
    <t>TABELA DE PREÇO PDV MARCELO</t>
  </si>
  <si>
    <t>SIMULAÇÃO - ENTREVISTA COM CLIENTE</t>
  </si>
  <si>
    <t xml:space="preserve">VIA API - CONFIGURAÇÃO DA ESTRUTURA DE HOSPEDAGEM EM UNVEM </t>
  </si>
  <si>
    <t>Qtde de Lojas?</t>
  </si>
  <si>
    <t>ADESÃO</t>
  </si>
  <si>
    <t>Número de CNPJ Matriz?</t>
  </si>
  <si>
    <t>ESTRUTURA NUVEM</t>
  </si>
  <si>
    <t>FAIXA DE VALOR</t>
  </si>
  <si>
    <t>Número de CNPJ Filial?</t>
  </si>
  <si>
    <t>LOJA MATRIZ (CNPJ)</t>
  </si>
  <si>
    <t>Número de PDV ?</t>
  </si>
  <si>
    <t>LOJA FILIAL (CNPJ)</t>
  </si>
  <si>
    <t>Número ADM Server Loja?</t>
  </si>
  <si>
    <t>PDV (PONTO DE VENDA)</t>
  </si>
  <si>
    <t>COMISSÃO GUARANI</t>
  </si>
  <si>
    <t xml:space="preserve">ADESÃO - CONFIGURAÇÃO DA ESTRUTURA DE HOSPEDAGEM EM UNVEM </t>
  </si>
  <si>
    <t>VLR</t>
  </si>
  <si>
    <t>MENSALIDADE/MANUTENÇÃO</t>
  </si>
  <si>
    <t>PDV (ADM SERVER LOJA)</t>
  </si>
  <si>
    <t xml:space="preserve">VIA FTP </t>
  </si>
  <si>
    <t>GURANI ERP</t>
  </si>
  <si>
    <t>INSTALAÇÃO/TREINAMENTO</t>
  </si>
  <si>
    <t>COMISSÃO</t>
  </si>
  <si>
    <t>RESUMO PROJETO</t>
  </si>
  <si>
    <t>PDV (ADM SERVER MATRIZ)</t>
  </si>
  <si>
    <t>GUARANI ERP</t>
  </si>
  <si>
    <t>adesão</t>
  </si>
  <si>
    <t>PDV [MARCELO] VIA API</t>
  </si>
  <si>
    <t>REGRAS</t>
  </si>
  <si>
    <t>Negociaçõs que envolve Fábio:</t>
  </si>
  <si>
    <t>1. Vendedor fez a venda sozinho 100% da comissão vendedor;</t>
  </si>
  <si>
    <t>2. Fábio, fez a apresentação, vendedor fica com 75% da comissão;</t>
  </si>
  <si>
    <t>3. Fábio, fez a negociação, vendedor fica com 50% da comissão;</t>
  </si>
  <si>
    <t>4. Diferente dos itens acima, vendedor fica com 25% da comissão.</t>
  </si>
  <si>
    <t>1. Solicitação de licenças via e-mail, ligação ou whatsapp não terá comissão.</t>
  </si>
  <si>
    <t>Obs.: Porém, vendedor visitou cliente ou está negociando outros módulos,treinamentos  e conseguiu vender licenças a empresa pagará a comissão nortmalmente.</t>
  </si>
  <si>
    <t xml:space="preserve">Projeto de ERP </t>
  </si>
  <si>
    <t>Projeto de AFV</t>
  </si>
  <si>
    <t>1. Novos projetos de AFV, o pacote de horas é 80 horas.</t>
  </si>
  <si>
    <t xml:space="preserve">1. O Valor da hora padrão, dentro do ano de 2024 é de R$180,00 reais. </t>
  </si>
  <si>
    <t>2. A comissão dos vendedores estabeleciada acima, tem validade dentro do ano de 2024.</t>
  </si>
  <si>
    <t>1. Todo projeto de ERP, no momento de formatar a quantidade de horas, o VENDEDOR deve procurar o gerente de projetos, no momento o Fernando.</t>
  </si>
  <si>
    <t>Hr Negociada</t>
  </si>
  <si>
    <t>Fator Desconto</t>
  </si>
  <si>
    <t>Tabela 2. Base Comissão</t>
  </si>
  <si>
    <t>Desconto</t>
  </si>
  <si>
    <t>Comissão</t>
  </si>
  <si>
    <t>Valor HR</t>
  </si>
  <si>
    <t>Valor Faixa Desconto</t>
  </si>
  <si>
    <t>Cálculo</t>
  </si>
  <si>
    <t>Informativo</t>
  </si>
  <si>
    <t>Desconto Inicial</t>
  </si>
  <si>
    <t>Desconto Final</t>
  </si>
  <si>
    <t>Cálculo Desconto</t>
  </si>
  <si>
    <t>Valor Faixa de Comissão</t>
  </si>
  <si>
    <t>Cálculo Comissão</t>
  </si>
  <si>
    <t>Tabela 2. Base Comissão Melhoria</t>
  </si>
  <si>
    <t>Fator final comissão</t>
  </si>
  <si>
    <t>Em percentual</t>
  </si>
  <si>
    <t>VALOR DA HORA PROJETOS</t>
  </si>
  <si>
    <t>VALOR DA HORA MELHORIA</t>
  </si>
  <si>
    <t>VALOR DA HORA PARCEIRO</t>
  </si>
  <si>
    <t>ATÉ 6X SEM JUROS</t>
  </si>
  <si>
    <t>CALCULADORA COMISSÃO PROJETO</t>
  </si>
  <si>
    <t>CALCULADORA COMISSÃO MELHORIA</t>
  </si>
  <si>
    <t>&gt;30%, com autorização do GESTOR e mantém comissão de 0,25%</t>
  </si>
  <si>
    <t>&gt;12%, e até 20% com autorização do GESTOR e mantém comissão de 0,5%</t>
  </si>
  <si>
    <t>Indicar este link aos clientes --&gt; https://conteudo.plugg.to/parceria-guarani-sistemas</t>
  </si>
  <si>
    <t xml:space="preserve">LINK DE PAGAMENTO </t>
  </si>
  <si>
    <t>Atualmente temos integração com SAFRA e VISA</t>
  </si>
  <si>
    <t xml:space="preserve"> Ferramenta de e-commerce B2C https://jetecommerce.com.br/</t>
  </si>
  <si>
    <t>4. Os preço praticado acima, é referente a tabela de preço de 2024.</t>
  </si>
  <si>
    <t>Horas de qualquer espécie: Comissão de 1% a 7%.</t>
  </si>
  <si>
    <t>Comissão de 100% da primeira mensalidade</t>
  </si>
  <si>
    <t>Politica de Comissão Vendedor</t>
  </si>
  <si>
    <t>Converteu o projeto indicado pelo SDR, 5% da 1ª mensalidade</t>
  </si>
  <si>
    <t>Meta Recorrente</t>
  </si>
  <si>
    <t>Time</t>
  </si>
  <si>
    <t>vendedor</t>
  </si>
  <si>
    <t>por vendedor</t>
  </si>
  <si>
    <t>Meta Projeto Horas</t>
  </si>
  <si>
    <t>Proposta</t>
  </si>
  <si>
    <t>não acumulativa</t>
  </si>
  <si>
    <t>Apresentação</t>
  </si>
  <si>
    <t>Meta Individual</t>
  </si>
  <si>
    <t>Meta Equipe</t>
  </si>
  <si>
    <t>METAS VENDEDOR</t>
  </si>
  <si>
    <t>METAS SDR</t>
  </si>
  <si>
    <t>Venda de Agendas</t>
  </si>
  <si>
    <t>Suspect</t>
  </si>
  <si>
    <t>SDR</t>
  </si>
  <si>
    <t>por SDR</t>
  </si>
  <si>
    <t>%</t>
  </si>
  <si>
    <t>&gt;200</t>
  </si>
  <si>
    <t>ADICIONAIS DIRETO AFV (PLUGIN)</t>
  </si>
  <si>
    <t xml:space="preserve">TABELA REGRESSIVA AFV </t>
  </si>
  <si>
    <t>Sem plugin</t>
  </si>
  <si>
    <t>Produto</t>
  </si>
  <si>
    <t>Add on - 2021 (10%)</t>
  </si>
  <si>
    <t>Pesquisa de mercado (Coleta + Quiz)</t>
  </si>
  <si>
    <t>B2B</t>
  </si>
  <si>
    <t>PLUGIN</t>
  </si>
  <si>
    <t>Propsota Web</t>
  </si>
  <si>
    <t>CALCULADORA CLOUD</t>
  </si>
  <si>
    <t>CALCULADORA AFV</t>
  </si>
  <si>
    <t>ADICIONAIS ERP</t>
  </si>
  <si>
    <t>Bônus e Ônus, sobre o recorrente. Cobriu a META + 10%; Cobriu a META Equipe + 10% ; Não Cobriu a META - 10%</t>
  </si>
  <si>
    <t>Atividades</t>
  </si>
  <si>
    <t>por SDR por dia</t>
  </si>
  <si>
    <t>Adicional de licença</t>
  </si>
  <si>
    <t xml:space="preserve">Obs.: </t>
  </si>
  <si>
    <t>No caso de FTP, existe margem para negociar a adesão dentro da faixa acima apresentada.</t>
  </si>
  <si>
    <t>CNPJ Adicional</t>
  </si>
  <si>
    <t>*O valor mensal dependerá do cenário específico de cada cliente, pois é necessário dimensionar o número de usuários de acesso e tamanho de banco de dados. Utilize a calculadora de Cloud para obter a mensalidade.</t>
  </si>
  <si>
    <t>à definir</t>
  </si>
  <si>
    <t>*Existe uma negociação com o parceiro, a ser realizada pela CONTRATANTE.</t>
  </si>
  <si>
    <t>LOJA MATRIZ (CNPJ)**</t>
  </si>
  <si>
    <t>LOJA FILIAL (CNPJ)**</t>
  </si>
  <si>
    <t>PDV (PONTO DE VENDA)**</t>
  </si>
  <si>
    <t>Guarani AFV*</t>
  </si>
  <si>
    <t>*O valor unitário dependerá do cenário específico de cada cliente, pois é necessário dimensionar o número de usuários + plugins contratados. Utilize a calculadora de AFV para obter a mensalidade.</t>
  </si>
  <si>
    <t>Use a aba PDV Marcelo para entender com montar uma proposta</t>
  </si>
  <si>
    <t>**Os valores acima e para uso com a integração API.</t>
  </si>
  <si>
    <t>Use a calculadora AFV para auxilio na construção da mensalidade</t>
  </si>
  <si>
    <t>Etapas refinar com o Fernando, a fazer.</t>
  </si>
  <si>
    <t>3. Todas as despesas como hospedagem, deslocamento e alimentação, é de respobonsabilidade da CONTRATANTE acrescido de imposto .</t>
  </si>
  <si>
    <t>Politica de Comissão SDR</t>
  </si>
  <si>
    <t>Atingiu a meta de agendamento, 20% do salário</t>
  </si>
  <si>
    <t>Porém, 2 leads não qualificados mensais apontado pelo vendedor/closer e confirmado pelo gestor, perde toda a váriável do mês.</t>
  </si>
  <si>
    <t>MODULO A ADICIONAR</t>
  </si>
  <si>
    <t>1.	VORTICE
2.	RD STATION
3.	PDV GUARANI</t>
  </si>
  <si>
    <t>Máquina</t>
  </si>
  <si>
    <t>Referência 5 usuários e banco de 60 GB</t>
  </si>
  <si>
    <t>Storage</t>
  </si>
  <si>
    <t>EMPRESA</t>
  </si>
  <si>
    <t>PRODUTO</t>
  </si>
  <si>
    <t>SCOTTI</t>
  </si>
  <si>
    <t>ATIVA</t>
  </si>
  <si>
    <t>CLASSHOME</t>
  </si>
  <si>
    <t>PAROLAR</t>
  </si>
  <si>
    <t>RUVOLO</t>
  </si>
  <si>
    <t>MOLIN</t>
  </si>
  <si>
    <t>MUNDI</t>
  </si>
  <si>
    <t>ARGIVAÍ</t>
  </si>
  <si>
    <t>BI</t>
  </si>
  <si>
    <t>PM</t>
  </si>
  <si>
    <t>ADITIVO&amp;CONTRATO</t>
  </si>
  <si>
    <t>Guarani FTP</t>
  </si>
  <si>
    <t>Qualidade</t>
  </si>
  <si>
    <t>Tabela 1.4</t>
  </si>
  <si>
    <t>Preço de Custo</t>
  </si>
  <si>
    <t>CIAP / ATIVO IMOBILIZADO</t>
  </si>
  <si>
    <t>Aqui manter meu fator em 2.4</t>
  </si>
  <si>
    <t>Intelipost</t>
  </si>
  <si>
    <t>Lojas STANDARD, a customizada existe horas adicionais, minimo garantido 1900</t>
  </si>
  <si>
    <t>Guarnai Cloud</t>
  </si>
  <si>
    <t>*23 Licenças TS</t>
  </si>
  <si>
    <t>univendas</t>
  </si>
  <si>
    <t>fator</t>
  </si>
  <si>
    <t>CLOUD ICUS</t>
  </si>
  <si>
    <t>DESCONTO</t>
  </si>
  <si>
    <t>VALOR TOTAL MENSAL</t>
  </si>
  <si>
    <t>SERVIDORES: 1 - Empresas até 10 licenças</t>
  </si>
  <si>
    <t>SERVIDORES: 2 - Empresa até 23 licenças</t>
  </si>
  <si>
    <t>SERVIDORES: 3 - Empresas até 47 licenças</t>
  </si>
  <si>
    <t>UNIVENDAS</t>
  </si>
  <si>
    <r>
      <t>Observação:</t>
    </r>
    <r>
      <rPr>
        <sz val="10"/>
        <color rgb="FF000000"/>
        <rFont val="Arial"/>
        <family val="2"/>
      </rPr>
      <t xml:space="preserve"> o valor da mensalidade será definido conforme a faixa de licenças em que o cliente se enquadrar. </t>
    </r>
  </si>
  <si>
    <r>
      <t xml:space="preserve">De </t>
    </r>
    <r>
      <rPr>
        <b/>
        <sz val="10"/>
        <color rgb="FF000000"/>
        <rFont val="Courier New"/>
        <family val="3"/>
      </rPr>
      <t>1 até 10 licenças</t>
    </r>
    <r>
      <rPr>
        <sz val="10"/>
        <color rgb="FF000000"/>
        <rFont val="Courier New"/>
        <family val="3"/>
      </rPr>
      <t xml:space="preserve"> → </t>
    </r>
  </si>
  <si>
    <t xml:space="preserve">Mensalidade: </t>
  </si>
  <si>
    <t>FATOR</t>
  </si>
  <si>
    <r>
      <t xml:space="preserve">De </t>
    </r>
    <r>
      <rPr>
        <b/>
        <sz val="10"/>
        <color rgb="FF000000"/>
        <rFont val="Courier New"/>
        <family val="3"/>
      </rPr>
      <t>11 até 23 licenças</t>
    </r>
    <r>
      <rPr>
        <sz val="10"/>
        <color rgb="FF000000"/>
        <rFont val="Courier New"/>
        <family val="3"/>
      </rPr>
      <t xml:space="preserve"> → </t>
    </r>
  </si>
  <si>
    <r>
      <t xml:space="preserve">De </t>
    </r>
    <r>
      <rPr>
        <b/>
        <sz val="10"/>
        <color rgb="FF000000"/>
        <rFont val="Courier New"/>
        <family val="3"/>
      </rPr>
      <t>24 até 47 licenças</t>
    </r>
    <r>
      <rPr>
        <sz val="10"/>
        <color rgb="FF000000"/>
        <rFont val="Courier New"/>
        <family val="3"/>
      </rPr>
      <t xml:space="preserve"> →</t>
    </r>
  </si>
  <si>
    <t>Proposta Atual</t>
  </si>
  <si>
    <t>Pode Chegar</t>
  </si>
  <si>
    <t>PLASTCAP</t>
  </si>
  <si>
    <t>ICUS</t>
  </si>
  <si>
    <r>
      <t>Observação:</t>
    </r>
    <r>
      <rPr>
        <sz val="10"/>
        <color rgb="FF000000"/>
        <rFont val="Courier New"/>
        <family val="3"/>
      </rPr>
      <t xml:space="preserve"> o valor da mensalidade será definido conforme a faixa de licenças em que o cliente se enquadrar. </t>
    </r>
  </si>
  <si>
    <t>12 Licenças ERP + 3 PDV</t>
  </si>
  <si>
    <t>15 Licenças ERP</t>
  </si>
  <si>
    <t>HAI IMPORT</t>
  </si>
  <si>
    <t>42 Licenças ERP</t>
  </si>
  <si>
    <t>BELA FLOR</t>
  </si>
  <si>
    <t>VALPORT</t>
  </si>
  <si>
    <t>VIC IMPORT</t>
  </si>
  <si>
    <t>18 Licenças ERP</t>
  </si>
  <si>
    <t>5 Licenças ERP</t>
  </si>
  <si>
    <t>NVT IMPORT</t>
  </si>
  <si>
    <t>12 Licenças ERP</t>
  </si>
  <si>
    <t>sagol</t>
  </si>
  <si>
    <t>12 Sagol ERP</t>
  </si>
  <si>
    <t>1 siid ERP</t>
  </si>
  <si>
    <t>SIID</t>
  </si>
  <si>
    <t>Politica Base 2026</t>
  </si>
  <si>
    <t>20% sobre a cobertura de meta.</t>
  </si>
  <si>
    <t>O que é cliente da base - quando ele passa a ser atendido pelo suporte</t>
  </si>
  <si>
    <t>Exemplo de cálculo:</t>
  </si>
  <si>
    <t xml:space="preserve">Venda de 10 mil em hora </t>
  </si>
  <si>
    <t>100% sobre a primeira  mensaldiade</t>
  </si>
  <si>
    <t>comissão R$2500</t>
  </si>
  <si>
    <t>cobertura R$2.000 lançar na meta R$12.0000</t>
  </si>
  <si>
    <t>5 AUTO VOLTH</t>
  </si>
  <si>
    <t>AUTO VOLTH</t>
  </si>
  <si>
    <t>20% de desconto sobre o valor da hora</t>
  </si>
  <si>
    <t>versão 2026 1.1</t>
  </si>
  <si>
    <t>Obs.:</t>
  </si>
  <si>
    <t>Horasna base esta com 20% de desconto.</t>
  </si>
  <si>
    <t>O valor da CDU, é multiplicar a mensalidade da propsota pelo fator 3.</t>
  </si>
  <si>
    <t>Use a calculadora cloud para obter o valor da mensaldiade.</t>
  </si>
  <si>
    <t xml:space="preserve">O valor da mensalidade de R$115,00 é o COMBO (Núcleo+Orç. WEB + Iara), podendo a chegar em R$105,00. O valor da CDU, é multiplicar a mensalidade da propsota pelo fator 3. </t>
  </si>
  <si>
    <t>Guarani Comex</t>
  </si>
  <si>
    <t>Politica 2026 CDU</t>
  </si>
  <si>
    <t>25% de comissão sobre venda de hora/CDU na base</t>
  </si>
  <si>
    <t>Voltou a CDU para ERP + AFV</t>
  </si>
  <si>
    <t>25% de comissão sobre a CDU</t>
  </si>
  <si>
    <t>TABELA REFERÊNCIA</t>
  </si>
  <si>
    <t>VALOR A LANÇAR NA PROPOSTA</t>
  </si>
  <si>
    <t>CRM (RD Station/Bitrix/Vortex</t>
  </si>
  <si>
    <t>IRACEMA</t>
  </si>
  <si>
    <t>ZNIA</t>
  </si>
  <si>
    <r>
      <t>Observação:</t>
    </r>
    <r>
      <rPr>
        <sz val="8"/>
        <color rgb="FF000000"/>
        <rFont val="Arial"/>
        <family val="2"/>
      </rPr>
      <t xml:space="preserve"> o valor da mensalidade será definido conforme a faixa de licenças em que o cliente se enquadrar. </t>
    </r>
  </si>
  <si>
    <t>Faixas do Guarani Cloud</t>
  </si>
  <si>
    <r>
      <t xml:space="preserve">De </t>
    </r>
    <r>
      <rPr>
        <b/>
        <sz val="11"/>
        <color rgb="FF000000"/>
        <rFont val="Courier New"/>
        <family val="3"/>
      </rPr>
      <t>1 até 10 licenças</t>
    </r>
    <r>
      <rPr>
        <sz val="11"/>
        <color rgb="FF000000"/>
        <rFont val="Courier New"/>
        <family val="3"/>
      </rPr>
      <t xml:space="preserve"> → </t>
    </r>
  </si>
  <si>
    <r>
      <t xml:space="preserve">De </t>
    </r>
    <r>
      <rPr>
        <b/>
        <sz val="11"/>
        <color rgb="FF000000"/>
        <rFont val="Courier New"/>
        <family val="3"/>
      </rPr>
      <t>11 até 23 licenças</t>
    </r>
    <r>
      <rPr>
        <sz val="11"/>
        <color rgb="FF000000"/>
        <rFont val="Courier New"/>
        <family val="3"/>
      </rPr>
      <t xml:space="preserve"> → </t>
    </r>
  </si>
  <si>
    <r>
      <t xml:space="preserve">De </t>
    </r>
    <r>
      <rPr>
        <b/>
        <sz val="11"/>
        <color rgb="FF000000"/>
        <rFont val="Courier New"/>
        <family val="3"/>
      </rPr>
      <t>24 até 47 licenças</t>
    </r>
    <r>
      <rPr>
        <sz val="11"/>
        <color rgb="FF000000"/>
        <rFont val="Courier New"/>
        <family val="3"/>
      </rPr>
      <t xml:space="preserve"> →</t>
    </r>
  </si>
  <si>
    <t>SERVIDORES: 0 - Empresas até 5 licenças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</si>
</sst>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R$&quot;\ #,##0.00;[Red]\-&quot;R$&quot;\ #,##0.00"/>
    <numFmt numFmtId="44" formatCode="_-&quot;R$&quot;\ * #,##0.00_-;\-&quot;R$&quot;\ * #,##0.00_-;_-&quot;R$&quot;\ * &quot;-&quot;??_-;_-@_-"/>
    <numFmt numFmtId="43" formatCode="_-* #,##0.00_-;\-* #,##0.00_-;_-* &quot;-&quot;??_-;_-@_-"/>
    <numFmt numFmtId="164" formatCode="&quot;R$&quot;\ #,##0.00"/>
    <numFmt numFmtId="165" formatCode="0.000"/>
    <numFmt numFmtId="166" formatCode="_-[$R$-416]\ * #,##0.00_-;\-[$R$-416]\ * #,##0.00_-;_-[$R$-416]\ * &quot;-&quot;??_-;_-@_-"/>
    <numFmt numFmtId="167" formatCode="0.0000"/>
    <numFmt numFmtId="168" formatCode="&quot;R$&quot;#,##0.00"/>
  </numFmts>
  <fonts count="4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sz val="11"/>
      <color rgb="FF000000"/>
      <name val="Calibri"/>
      <family val="2"/>
      <scheme val="minor"/>
    </font>
    <font>
      <i/>
      <sz val="9"/>
      <color theme="1"/>
      <name val="Calibri"/>
      <family val="2"/>
      <scheme val="minor"/>
    </font>
    <font>
      <sz val="11"/>
      <color theme="1"/>
      <name val="Calibri"/>
      <family val="2"/>
      <scheme val="minor"/>
    </font>
    <font>
      <sz val="11"/>
      <color rgb="FFFF0000"/>
      <name val="Calibri"/>
      <family val="2"/>
      <scheme val="minor"/>
    </font>
    <font>
      <sz val="10"/>
      <color theme="1"/>
      <name val="Calibri"/>
      <family val="2"/>
      <scheme val="minor"/>
    </font>
    <font>
      <sz val="12"/>
      <color rgb="FF000000"/>
      <name val="Calibri"/>
      <family val="2"/>
      <scheme val="minor"/>
    </font>
    <font>
      <b/>
      <sz val="11"/>
      <name val="Calibri"/>
      <family val="2"/>
      <scheme val="minor"/>
    </font>
    <font>
      <sz val="11"/>
      <name val="Calibri"/>
      <family val="2"/>
      <scheme val="minor"/>
    </font>
    <font>
      <i/>
      <sz val="10"/>
      <color theme="1"/>
      <name val="Calibri"/>
      <family val="2"/>
      <scheme val="minor"/>
    </font>
    <font>
      <i/>
      <sz val="10"/>
      <name val="Calibri"/>
      <family val="2"/>
      <scheme val="minor"/>
    </font>
    <font>
      <sz val="12"/>
      <color theme="0"/>
      <name val="Arial"/>
      <family val="2"/>
    </font>
    <font>
      <b/>
      <sz val="10"/>
      <color theme="1"/>
      <name val="Calibri"/>
      <family val="2"/>
      <scheme val="minor"/>
    </font>
    <font>
      <b/>
      <sz val="12"/>
      <color theme="1"/>
      <name val="Calibri"/>
      <family val="2"/>
      <scheme val="minor"/>
    </font>
    <font>
      <b/>
      <sz val="10"/>
      <color theme="0"/>
      <name val="Calibri"/>
      <family val="2"/>
      <scheme val="minor"/>
    </font>
    <font>
      <b/>
      <sz val="14"/>
      <color theme="0"/>
      <name val="Calibri"/>
      <family val="2"/>
      <scheme val="minor"/>
    </font>
    <font>
      <i/>
      <sz val="10"/>
      <color rgb="FF000000"/>
      <name val="Cambria"/>
      <family val="1"/>
    </font>
    <font>
      <b/>
      <sz val="12"/>
      <color theme="0"/>
      <name val="Calibri"/>
      <family val="2"/>
      <scheme val="minor"/>
    </font>
    <font>
      <sz val="8"/>
      <name val="Calibri"/>
      <family val="2"/>
      <scheme val="minor"/>
    </font>
    <font>
      <b/>
      <sz val="11"/>
      <color theme="1"/>
      <name val="Arial Nova Cond Light"/>
      <family val="2"/>
    </font>
    <font>
      <sz val="11"/>
      <color theme="1"/>
      <name val="Arial Nova Cond Light"/>
      <family val="2"/>
    </font>
    <font>
      <sz val="8"/>
      <color theme="1"/>
      <name val="Calibri"/>
      <family val="2"/>
      <scheme val="minor"/>
    </font>
    <font>
      <b/>
      <sz val="16"/>
      <color theme="1"/>
      <name val="Calibri"/>
      <family val="2"/>
      <scheme val="minor"/>
    </font>
    <font>
      <sz val="11"/>
      <color theme="1"/>
      <name val="Courier New"/>
      <family val="3"/>
    </font>
    <font>
      <b/>
      <sz val="11"/>
      <color theme="0"/>
      <name val="Courier New"/>
      <family val="3"/>
    </font>
    <font>
      <sz val="12"/>
      <color rgb="FF000000"/>
      <name val="Arial"/>
      <family val="2"/>
    </font>
    <font>
      <b/>
      <sz val="10"/>
      <color rgb="FF000000"/>
      <name val="Arial"/>
      <family val="2"/>
    </font>
    <font>
      <sz val="10"/>
      <color rgb="FF000000"/>
      <name val="Arial"/>
      <family val="2"/>
    </font>
    <font>
      <b/>
      <sz val="10"/>
      <color theme="1"/>
      <name val="Courier New"/>
      <family val="3"/>
    </font>
    <font>
      <sz val="10"/>
      <color theme="1"/>
      <name val="Courier New"/>
      <family val="3"/>
    </font>
    <font>
      <sz val="10"/>
      <color rgb="FF000000"/>
      <name val="Courier New"/>
      <family val="3"/>
    </font>
    <font>
      <b/>
      <sz val="10"/>
      <color rgb="FF000000"/>
      <name val="Courier New"/>
      <family val="3"/>
    </font>
    <font>
      <u/>
      <sz val="11"/>
      <color theme="1"/>
      <name val="Calibri"/>
      <family val="2"/>
      <scheme val="minor"/>
    </font>
    <font>
      <sz val="10"/>
      <color theme="0"/>
      <name val="Courier New"/>
      <family val="3"/>
    </font>
    <font>
      <b/>
      <sz val="10"/>
      <color theme="0"/>
      <name val="Courier New"/>
      <family val="3"/>
    </font>
    <font>
      <u/>
      <sz val="11"/>
      <color theme="10"/>
      <name val="Calibri"/>
      <family val="2"/>
      <scheme val="minor"/>
    </font>
    <font>
      <b/>
      <sz val="8"/>
      <color rgb="FF000000"/>
      <name val="Arial"/>
      <family val="2"/>
    </font>
    <font>
      <sz val="8"/>
      <color rgb="FF000000"/>
      <name val="Arial"/>
      <family val="2"/>
    </font>
    <font>
      <sz val="11"/>
      <color rgb="FF000000"/>
      <name val="Courier New"/>
      <family val="3"/>
    </font>
    <font>
      <b/>
      <sz val="11"/>
      <color rgb="FF000000"/>
      <name val="Courier New"/>
      <family val="3"/>
    </font>
  </fonts>
  <fills count="29">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7030A0"/>
        <bgColor indexed="64"/>
      </patternFill>
    </fill>
    <fill>
      <patternFill patternType="solid">
        <fgColor rgb="FF3A5925"/>
        <bgColor indexed="64"/>
      </patternFill>
    </fill>
    <fill>
      <patternFill patternType="solid">
        <fgColor theme="9"/>
        <bgColor indexed="64"/>
      </patternFill>
    </fill>
    <fill>
      <patternFill patternType="solid">
        <fgColor theme="4"/>
        <bgColor indexed="64"/>
      </patternFill>
    </fill>
    <fill>
      <patternFill patternType="solid">
        <fgColor theme="0" tint="-0.34998626667073579"/>
        <bgColor indexed="64"/>
      </patternFill>
    </fill>
    <fill>
      <patternFill patternType="solid">
        <fgColor rgb="FFFF0000"/>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2"/>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1"/>
        <bgColor indexed="64"/>
      </patternFill>
    </fill>
    <fill>
      <patternFill patternType="solid">
        <fgColor rgb="FF95B9AC"/>
        <bgColor indexed="64"/>
      </patternFill>
    </fill>
  </fills>
  <borders count="100">
    <border>
      <left/>
      <right/>
      <top/>
      <bottom/>
      <diagonal/>
    </border>
    <border>
      <left style="dotted">
        <color rgb="FF00B050"/>
      </left>
      <right/>
      <top style="dotted">
        <color rgb="FF00B050"/>
      </top>
      <bottom style="dotted">
        <color rgb="FF00B050"/>
      </bottom>
      <diagonal/>
    </border>
    <border>
      <left/>
      <right/>
      <top style="dotted">
        <color rgb="FF00B050"/>
      </top>
      <bottom style="dotted">
        <color rgb="FF00B050"/>
      </bottom>
      <diagonal/>
    </border>
    <border>
      <left/>
      <right style="dotted">
        <color rgb="FF00B050"/>
      </right>
      <top style="dotted">
        <color rgb="FF00B050"/>
      </top>
      <bottom style="dotted">
        <color rgb="FF00B050"/>
      </bottom>
      <diagonal/>
    </border>
    <border>
      <left style="medium">
        <color rgb="FF00B050"/>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style="medium">
        <color rgb="FF00B050"/>
      </right>
      <top/>
      <bottom style="medium">
        <color rgb="FF00B050"/>
      </bottom>
      <diagonal/>
    </border>
    <border>
      <left style="medium">
        <color rgb="FF00B050"/>
      </left>
      <right style="medium">
        <color rgb="FF00B050"/>
      </right>
      <top style="medium">
        <color rgb="FF00B050"/>
      </top>
      <bottom/>
      <diagonal/>
    </border>
    <border>
      <left style="medium">
        <color rgb="FF00B050"/>
      </left>
      <right style="medium">
        <color rgb="FF00B050"/>
      </right>
      <top/>
      <bottom style="medium">
        <color rgb="FF00B050"/>
      </bottom>
      <diagonal/>
    </border>
    <border>
      <left style="dashed">
        <color rgb="FF00B050"/>
      </left>
      <right style="dashed">
        <color rgb="FF00B050"/>
      </right>
      <top style="dashed">
        <color rgb="FF00B050"/>
      </top>
      <bottom style="dashed">
        <color rgb="FF00B050"/>
      </bottom>
      <diagonal/>
    </border>
    <border>
      <left style="dashed">
        <color rgb="FF00B050"/>
      </left>
      <right style="dashed">
        <color rgb="FF00B050"/>
      </right>
      <top/>
      <bottom style="dashed">
        <color rgb="FF00B05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dashDot">
        <color rgb="FF92D050"/>
      </left>
      <right style="dashDot">
        <color rgb="FF92D050"/>
      </right>
      <top style="dashDot">
        <color rgb="FF92D050"/>
      </top>
      <bottom style="dashDot">
        <color rgb="FF92D050"/>
      </bottom>
      <diagonal/>
    </border>
    <border>
      <left style="thin">
        <color theme="4" tint="0.59999389629810485"/>
      </left>
      <right style="thin">
        <color theme="4" tint="0.59999389629810485"/>
      </right>
      <top/>
      <bottom/>
      <diagonal/>
    </border>
    <border>
      <left style="thin">
        <color theme="8" tint="0.79998168889431442"/>
      </left>
      <right style="thin">
        <color theme="8" tint="0.79998168889431442"/>
      </right>
      <top style="thin">
        <color theme="8" tint="0.79998168889431442"/>
      </top>
      <bottom style="thin">
        <color theme="8" tint="0.79998168889431442"/>
      </bottom>
      <diagonal/>
    </border>
    <border>
      <left/>
      <right style="thin">
        <color theme="8" tint="0.79998168889431442"/>
      </right>
      <top/>
      <bottom/>
      <diagonal/>
    </border>
    <border>
      <left style="medium">
        <color rgb="FF00B050"/>
      </left>
      <right style="medium">
        <color rgb="FF00B050"/>
      </right>
      <top style="medium">
        <color rgb="FF00B050"/>
      </top>
      <bottom style="medium">
        <color rgb="FF00B050"/>
      </bottom>
      <diagonal/>
    </border>
    <border>
      <left style="medium">
        <color rgb="FF00B050"/>
      </left>
      <right/>
      <top style="medium">
        <color rgb="FF00B050"/>
      </top>
      <bottom style="medium">
        <color rgb="FF00B050"/>
      </bottom>
      <diagonal/>
    </border>
    <border>
      <left style="medium">
        <color rgb="FF00B050"/>
      </left>
      <right style="dashed">
        <color rgb="FF00B050"/>
      </right>
      <top/>
      <bottom style="dashed">
        <color rgb="FF00B050"/>
      </bottom>
      <diagonal/>
    </border>
    <border>
      <left style="dashed">
        <color rgb="FF00B050"/>
      </left>
      <right style="medium">
        <color rgb="FF00B050"/>
      </right>
      <top/>
      <bottom style="dashed">
        <color rgb="FF00B050"/>
      </bottom>
      <diagonal/>
    </border>
    <border>
      <left style="medium">
        <color rgb="FF00B050"/>
      </left>
      <right style="dashed">
        <color rgb="FF00B050"/>
      </right>
      <top style="dashed">
        <color rgb="FF00B050"/>
      </top>
      <bottom style="dashed">
        <color rgb="FF00B050"/>
      </bottom>
      <diagonal/>
    </border>
    <border>
      <left style="dashed">
        <color rgb="FF00B050"/>
      </left>
      <right style="medium">
        <color rgb="FF00B050"/>
      </right>
      <top style="dashed">
        <color rgb="FF00B050"/>
      </top>
      <bottom style="dashed">
        <color rgb="FF00B050"/>
      </bottom>
      <diagonal/>
    </border>
    <border>
      <left style="medium">
        <color rgb="FF00B050"/>
      </left>
      <right style="dashed">
        <color rgb="FF00B050"/>
      </right>
      <top style="dashed">
        <color rgb="FF00B050"/>
      </top>
      <bottom style="medium">
        <color rgb="FF00B050"/>
      </bottom>
      <diagonal/>
    </border>
    <border>
      <left style="dashed">
        <color rgb="FF00B050"/>
      </left>
      <right style="dashed">
        <color rgb="FF00B050"/>
      </right>
      <top style="dashed">
        <color rgb="FF00B050"/>
      </top>
      <bottom style="medium">
        <color rgb="FF00B050"/>
      </bottom>
      <diagonal/>
    </border>
    <border>
      <left style="dashed">
        <color rgb="FF00B050"/>
      </left>
      <right style="medium">
        <color rgb="FF00B050"/>
      </right>
      <top style="dashed">
        <color rgb="FF00B050"/>
      </top>
      <bottom style="medium">
        <color rgb="FF00B050"/>
      </bottom>
      <diagonal/>
    </border>
    <border>
      <left/>
      <right/>
      <top style="medium">
        <color rgb="FF00B050"/>
      </top>
      <bottom/>
      <diagonal/>
    </border>
    <border>
      <left style="medium">
        <color rgb="FF00B050"/>
      </left>
      <right/>
      <top/>
      <bottom/>
      <diagonal/>
    </border>
    <border>
      <left/>
      <right style="medium">
        <color rgb="FF00B050"/>
      </right>
      <top/>
      <bottom/>
      <diagonal/>
    </border>
    <border>
      <left/>
      <right/>
      <top/>
      <bottom style="medium">
        <color rgb="FF00B050"/>
      </bottom>
      <diagonal/>
    </border>
    <border>
      <left/>
      <right/>
      <top style="thin">
        <color indexed="64"/>
      </top>
      <bottom style="thin">
        <color indexed="64"/>
      </bottom>
      <diagonal/>
    </border>
    <border>
      <left style="medium">
        <color rgb="FF00B050"/>
      </left>
      <right/>
      <top style="thin">
        <color indexed="64"/>
      </top>
      <bottom style="thin">
        <color indexed="64"/>
      </bottom>
      <diagonal/>
    </border>
    <border>
      <left/>
      <right style="medium">
        <color rgb="FF00B050"/>
      </right>
      <top style="thin">
        <color indexed="64"/>
      </top>
      <bottom style="thin">
        <color indexed="64"/>
      </bottom>
      <diagonal/>
    </border>
    <border>
      <left style="medium">
        <color rgb="FF00B050"/>
      </left>
      <right style="dotted">
        <color indexed="64"/>
      </right>
      <top style="dotted">
        <color indexed="64"/>
      </top>
      <bottom style="dotted">
        <color indexed="64"/>
      </bottom>
      <diagonal/>
    </border>
    <border>
      <left style="dotted">
        <color indexed="64"/>
      </left>
      <right style="medium">
        <color rgb="FF00B050"/>
      </right>
      <top style="dotted">
        <color indexed="64"/>
      </top>
      <bottom style="dotted">
        <color indexed="64"/>
      </bottom>
      <diagonal/>
    </border>
    <border>
      <left style="medium">
        <color rgb="FF00B050"/>
      </left>
      <right style="dotted">
        <color indexed="64"/>
      </right>
      <top style="dotted">
        <color indexed="64"/>
      </top>
      <bottom style="medium">
        <color rgb="FF00B050"/>
      </bottom>
      <diagonal/>
    </border>
    <border>
      <left style="dotted">
        <color indexed="64"/>
      </left>
      <right style="dotted">
        <color indexed="64"/>
      </right>
      <top style="dotted">
        <color indexed="64"/>
      </top>
      <bottom style="medium">
        <color rgb="FF00B050"/>
      </bottom>
      <diagonal/>
    </border>
    <border>
      <left style="dotted">
        <color indexed="64"/>
      </left>
      <right style="medium">
        <color rgb="FF00B050"/>
      </right>
      <top style="dotted">
        <color indexed="64"/>
      </top>
      <bottom style="medium">
        <color rgb="FF00B050"/>
      </bottom>
      <diagonal/>
    </border>
    <border>
      <left style="dashed">
        <color indexed="64"/>
      </left>
      <right style="dashed">
        <color indexed="64"/>
      </right>
      <top style="dashed">
        <color indexed="64"/>
      </top>
      <bottom style="dashed">
        <color indexed="64"/>
      </bottom>
      <diagonal/>
    </border>
    <border>
      <left style="medium">
        <color rgb="FF00B050"/>
      </left>
      <right style="dashed">
        <color indexed="64"/>
      </right>
      <top style="dashed">
        <color indexed="64"/>
      </top>
      <bottom style="dashed">
        <color indexed="64"/>
      </bottom>
      <diagonal/>
    </border>
    <border>
      <left style="dashed">
        <color indexed="64"/>
      </left>
      <right style="medium">
        <color rgb="FF00B050"/>
      </right>
      <top style="dashed">
        <color indexed="64"/>
      </top>
      <bottom style="dashed">
        <color indexed="64"/>
      </bottom>
      <diagonal/>
    </border>
    <border>
      <left style="medium">
        <color rgb="FF00B050"/>
      </left>
      <right style="dashed">
        <color indexed="64"/>
      </right>
      <top style="dashed">
        <color indexed="64"/>
      </top>
      <bottom style="medium">
        <color rgb="FF00B050"/>
      </bottom>
      <diagonal/>
    </border>
    <border>
      <left style="dashed">
        <color indexed="64"/>
      </left>
      <right style="dashed">
        <color indexed="64"/>
      </right>
      <top style="dashed">
        <color indexed="64"/>
      </top>
      <bottom style="medium">
        <color rgb="FF00B050"/>
      </bottom>
      <diagonal/>
    </border>
    <border>
      <left style="dashed">
        <color indexed="64"/>
      </left>
      <right style="medium">
        <color rgb="FF00B050"/>
      </right>
      <top style="dashed">
        <color indexed="64"/>
      </top>
      <bottom style="medium">
        <color rgb="FF00B050"/>
      </bottom>
      <diagonal/>
    </border>
    <border>
      <left style="medium">
        <color rgb="FF00B050"/>
      </left>
      <right/>
      <top/>
      <bottom style="thin">
        <color indexed="64"/>
      </bottom>
      <diagonal/>
    </border>
    <border>
      <left/>
      <right/>
      <top/>
      <bottom style="thin">
        <color indexed="64"/>
      </bottom>
      <diagonal/>
    </border>
    <border>
      <left/>
      <right style="medium">
        <color rgb="FF00B050"/>
      </right>
      <top/>
      <bottom style="thin">
        <color indexed="64"/>
      </bottom>
      <diagonal/>
    </border>
    <border>
      <left/>
      <right/>
      <top style="medium">
        <color rgb="FF00B050"/>
      </top>
      <bottom style="medium">
        <color rgb="FF00B050"/>
      </bottom>
      <diagonal/>
    </border>
    <border>
      <left/>
      <right style="medium">
        <color rgb="FF00B050"/>
      </right>
      <top style="medium">
        <color rgb="FF00B050"/>
      </top>
      <bottom style="medium">
        <color rgb="FF00B050"/>
      </bottom>
      <diagonal/>
    </border>
    <border>
      <left style="medium">
        <color rgb="FF00B050"/>
      </left>
      <right style="dashed">
        <color indexed="64"/>
      </right>
      <top/>
      <bottom style="dashed">
        <color indexed="64"/>
      </bottom>
      <diagonal/>
    </border>
    <border>
      <left style="dashed">
        <color indexed="64"/>
      </left>
      <right style="dashed">
        <color indexed="64"/>
      </right>
      <top/>
      <bottom style="dashed">
        <color indexed="64"/>
      </bottom>
      <diagonal/>
    </border>
    <border>
      <left style="dashed">
        <color indexed="64"/>
      </left>
      <right style="medium">
        <color rgb="FF00B050"/>
      </right>
      <top/>
      <bottom style="dashed">
        <color indexed="64"/>
      </bottom>
      <diagonal/>
    </border>
    <border>
      <left style="medium">
        <color rgb="FF00B050"/>
      </left>
      <right style="dashed">
        <color indexed="64"/>
      </right>
      <top style="medium">
        <color rgb="FF00B050"/>
      </top>
      <bottom style="medium">
        <color rgb="FF00B050"/>
      </bottom>
      <diagonal/>
    </border>
    <border>
      <left style="dashed">
        <color indexed="64"/>
      </left>
      <right style="dashed">
        <color indexed="64"/>
      </right>
      <top style="medium">
        <color rgb="FF00B050"/>
      </top>
      <bottom style="medium">
        <color rgb="FF00B050"/>
      </bottom>
      <diagonal/>
    </border>
    <border>
      <left style="dashed">
        <color indexed="64"/>
      </left>
      <right style="medium">
        <color rgb="FF00B050"/>
      </right>
      <top style="medium">
        <color rgb="FF00B050"/>
      </top>
      <bottom style="medium">
        <color rgb="FF00B050"/>
      </bottom>
      <diagonal/>
    </border>
    <border>
      <left style="dashed">
        <color indexed="64"/>
      </left>
      <right/>
      <top style="medium">
        <color rgb="FF00B050"/>
      </top>
      <bottom style="medium">
        <color rgb="FF00B050"/>
      </bottom>
      <diagonal/>
    </border>
    <border>
      <left style="medium">
        <color rgb="FF00B050"/>
      </left>
      <right style="dotted">
        <color indexed="64"/>
      </right>
      <top/>
      <bottom style="dotted">
        <color indexed="64"/>
      </bottom>
      <diagonal/>
    </border>
    <border>
      <left style="dotted">
        <color indexed="64"/>
      </left>
      <right style="medium">
        <color rgb="FF00B050"/>
      </right>
      <top/>
      <bottom style="dotted">
        <color indexed="64"/>
      </bottom>
      <diagonal/>
    </border>
    <border>
      <left style="medium">
        <color rgb="FF00B050"/>
      </left>
      <right style="dotted">
        <color indexed="64"/>
      </right>
      <top style="medium">
        <color rgb="FF00B050"/>
      </top>
      <bottom style="medium">
        <color rgb="FF00B050"/>
      </bottom>
      <diagonal/>
    </border>
    <border>
      <left style="dotted">
        <color indexed="64"/>
      </left>
      <right style="dotted">
        <color indexed="64"/>
      </right>
      <top style="medium">
        <color rgb="FF00B050"/>
      </top>
      <bottom style="medium">
        <color rgb="FF00B050"/>
      </bottom>
      <diagonal/>
    </border>
    <border>
      <left style="dotted">
        <color indexed="64"/>
      </left>
      <right/>
      <top style="medium">
        <color rgb="FF00B050"/>
      </top>
      <bottom style="medium">
        <color rgb="FF00B050"/>
      </bottom>
      <diagonal/>
    </border>
    <border>
      <left style="medium">
        <color rgb="FF00B050"/>
      </left>
      <right/>
      <top style="dotted">
        <color indexed="64"/>
      </top>
      <bottom style="dotted">
        <color indexed="64"/>
      </bottom>
      <diagonal/>
    </border>
    <border>
      <left style="medium">
        <color rgb="FF00B050"/>
      </left>
      <right style="dashed">
        <color rgb="FF00B050"/>
      </right>
      <top style="medium">
        <color rgb="FF00B050"/>
      </top>
      <bottom style="dashed">
        <color rgb="FF00B050"/>
      </bottom>
      <diagonal/>
    </border>
    <border>
      <left style="dashed">
        <color rgb="FF00B050"/>
      </left>
      <right style="dashed">
        <color rgb="FF00B050"/>
      </right>
      <top style="medium">
        <color rgb="FF00B050"/>
      </top>
      <bottom style="dashed">
        <color rgb="FF00B050"/>
      </bottom>
      <diagonal/>
    </border>
    <border>
      <left style="dashed">
        <color rgb="FF00B050"/>
      </left>
      <right style="medium">
        <color rgb="FF00B050"/>
      </right>
      <top style="medium">
        <color rgb="FF00B050"/>
      </top>
      <bottom style="dashed">
        <color rgb="FF00B050"/>
      </bottom>
      <diagonal/>
    </border>
    <border>
      <left style="medium">
        <color rgb="FF00B050"/>
      </left>
      <right style="medium">
        <color rgb="FF00B050"/>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rgb="FF00B050"/>
      </left>
      <right style="dashed">
        <color rgb="FF00B050"/>
      </right>
      <top style="dashed">
        <color rgb="FF00B050"/>
      </top>
      <bottom/>
      <diagonal/>
    </border>
    <border>
      <left style="dashed">
        <color rgb="FF00B050"/>
      </left>
      <right style="dashed">
        <color rgb="FF00B050"/>
      </right>
      <top style="dashed">
        <color rgb="FF00B050"/>
      </top>
      <bottom/>
      <diagonal/>
    </border>
    <border>
      <left style="dashed">
        <color rgb="FF00B050"/>
      </left>
      <right style="medium">
        <color rgb="FF00B050"/>
      </right>
      <top style="dashed">
        <color rgb="FF00B050"/>
      </top>
      <bottom/>
      <diagonal/>
    </border>
    <border>
      <left/>
      <right/>
      <top style="thin">
        <color indexed="64"/>
      </top>
      <bottom/>
      <diagonal/>
    </border>
  </borders>
  <cellStyleXfs count="8">
    <xf numFmtId="0" fontId="0" fillId="0" borderId="0"/>
    <xf numFmtId="9" fontId="8" fillId="0" borderId="0" applyFont="0" applyFill="0" applyBorder="0" applyAlignment="0" applyProtection="0"/>
    <xf numFmtId="43" fontId="8" fillId="0" borderId="0" applyFont="0" applyFill="0" applyBorder="0" applyAlignment="0" applyProtection="0"/>
    <xf numFmtId="0" fontId="3"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40" fillId="0" borderId="0" applyNumberFormat="0" applyFill="0" applyBorder="0" applyAlignment="0" applyProtection="0"/>
  </cellStyleXfs>
  <cellXfs count="409">
    <xf numFmtId="0" fontId="0" fillId="0" borderId="0" xfId="0"/>
    <xf numFmtId="0" fontId="0" fillId="0" borderId="0" xfId="0" applyAlignment="1">
      <alignment horizontal="center"/>
    </xf>
    <xf numFmtId="164" fontId="0" fillId="0" borderId="0" xfId="0" applyNumberFormat="1"/>
    <xf numFmtId="164" fontId="0" fillId="0" borderId="0" xfId="0" applyNumberFormat="1" applyAlignment="1">
      <alignment horizontal="center"/>
    </xf>
    <xf numFmtId="164" fontId="0" fillId="0" borderId="0" xfId="0" applyNumberFormat="1" applyAlignment="1">
      <alignment horizontal="right"/>
    </xf>
    <xf numFmtId="0" fontId="2" fillId="0" borderId="0" xfId="0" applyFont="1" applyAlignment="1">
      <alignment horizontal="right"/>
    </xf>
    <xf numFmtId="9" fontId="0" fillId="0" borderId="0" xfId="1" applyFont="1"/>
    <xf numFmtId="0" fontId="2" fillId="0" borderId="0" xfId="0" applyFont="1"/>
    <xf numFmtId="164" fontId="2" fillId="0" borderId="0" xfId="0" applyNumberFormat="1" applyFont="1" applyAlignment="1">
      <alignment horizontal="center"/>
    </xf>
    <xf numFmtId="0" fontId="0" fillId="2" borderId="0" xfId="0" applyFill="1"/>
    <xf numFmtId="0" fontId="0" fillId="6" borderId="12" xfId="0" applyFill="1" applyBorder="1" applyAlignment="1">
      <alignment horizontal="right"/>
    </xf>
    <xf numFmtId="0" fontId="0" fillId="6" borderId="13" xfId="0" quotePrefix="1" applyFill="1" applyBorder="1" applyAlignment="1">
      <alignment horizontal="right"/>
    </xf>
    <xf numFmtId="0" fontId="0" fillId="6" borderId="13" xfId="0" applyFill="1" applyBorder="1" applyAlignment="1">
      <alignment horizontal="right"/>
    </xf>
    <xf numFmtId="0" fontId="0" fillId="2" borderId="13" xfId="0" applyFill="1" applyBorder="1"/>
    <xf numFmtId="0" fontId="0" fillId="2" borderId="14" xfId="0" applyFill="1" applyBorder="1"/>
    <xf numFmtId="0" fontId="0" fillId="2" borderId="13" xfId="0" applyFill="1" applyBorder="1" applyAlignment="1">
      <alignment horizontal="right"/>
    </xf>
    <xf numFmtId="165" fontId="0" fillId="2" borderId="13" xfId="0" applyNumberFormat="1" applyFill="1" applyBorder="1"/>
    <xf numFmtId="0" fontId="0" fillId="2" borderId="12" xfId="0" applyFill="1" applyBorder="1"/>
    <xf numFmtId="0" fontId="0" fillId="2" borderId="15" xfId="0" applyFill="1" applyBorder="1" applyAlignment="1">
      <alignment horizontal="right"/>
    </xf>
    <xf numFmtId="0" fontId="0" fillId="2" borderId="0" xfId="0" applyFill="1" applyAlignment="1">
      <alignment horizontal="right"/>
    </xf>
    <xf numFmtId="0" fontId="0" fillId="2" borderId="16" xfId="0" applyFill="1" applyBorder="1" applyAlignment="1">
      <alignment horizontal="right"/>
    </xf>
    <xf numFmtId="0" fontId="0" fillId="2" borderId="16" xfId="0" applyFill="1" applyBorder="1"/>
    <xf numFmtId="0" fontId="0" fillId="2" borderId="15" xfId="0" applyFill="1" applyBorder="1"/>
    <xf numFmtId="165" fontId="0" fillId="2" borderId="0" xfId="0" applyNumberFormat="1" applyFill="1"/>
    <xf numFmtId="165" fontId="0" fillId="2" borderId="0" xfId="0" applyNumberFormat="1" applyFill="1" applyAlignment="1">
      <alignment horizontal="right"/>
    </xf>
    <xf numFmtId="165" fontId="0" fillId="2" borderId="16" xfId="0" applyNumberFormat="1" applyFill="1" applyBorder="1" applyAlignment="1">
      <alignment horizontal="right"/>
    </xf>
    <xf numFmtId="0" fontId="0" fillId="2" borderId="17" xfId="0" applyFill="1" applyBorder="1" applyAlignment="1">
      <alignment horizontal="right"/>
    </xf>
    <xf numFmtId="0" fontId="0" fillId="2" borderId="18" xfId="0" applyFill="1" applyBorder="1" applyAlignment="1">
      <alignment horizontal="right"/>
    </xf>
    <xf numFmtId="0" fontId="0" fillId="12" borderId="18" xfId="0" applyFill="1" applyBorder="1" applyAlignment="1">
      <alignment horizontal="right"/>
    </xf>
    <xf numFmtId="0" fontId="0" fillId="2" borderId="19" xfId="0" applyFill="1" applyBorder="1" applyAlignment="1">
      <alignment horizontal="right"/>
    </xf>
    <xf numFmtId="0" fontId="0" fillId="12" borderId="0" xfId="0" applyFill="1" applyAlignment="1">
      <alignment horizontal="right"/>
    </xf>
    <xf numFmtId="43" fontId="0" fillId="2" borderId="0" xfId="2" applyFont="1" applyFill="1" applyBorder="1" applyAlignment="1">
      <alignment horizontal="right"/>
    </xf>
    <xf numFmtId="43" fontId="0" fillId="2" borderId="16" xfId="2" applyFont="1" applyFill="1" applyBorder="1" applyAlignment="1">
      <alignment horizontal="right"/>
    </xf>
    <xf numFmtId="0" fontId="0" fillId="2" borderId="20" xfId="0" applyFill="1" applyBorder="1" applyAlignment="1">
      <alignment horizontal="right"/>
    </xf>
    <xf numFmtId="0" fontId="0" fillId="2" borderId="21" xfId="0" applyFill="1" applyBorder="1" applyAlignment="1">
      <alignment horizontal="right"/>
    </xf>
    <xf numFmtId="0" fontId="0" fillId="12" borderId="21" xfId="0" applyFill="1" applyBorder="1" applyAlignment="1">
      <alignment horizontal="right"/>
    </xf>
    <xf numFmtId="43" fontId="0" fillId="2" borderId="21" xfId="2" applyFont="1" applyFill="1" applyBorder="1" applyAlignment="1">
      <alignment horizontal="right"/>
    </xf>
    <xf numFmtId="43" fontId="0" fillId="2" borderId="22" xfId="2" applyFont="1" applyFill="1" applyBorder="1" applyAlignment="1">
      <alignment horizontal="right"/>
    </xf>
    <xf numFmtId="0" fontId="0" fillId="2" borderId="21" xfId="0" applyFill="1" applyBorder="1"/>
    <xf numFmtId="0" fontId="0" fillId="2" borderId="22" xfId="0" applyFill="1" applyBorder="1"/>
    <xf numFmtId="0" fontId="0" fillId="2" borderId="20" xfId="0" applyFill="1" applyBorder="1"/>
    <xf numFmtId="0" fontId="2" fillId="2" borderId="17" xfId="0" applyFont="1" applyFill="1" applyBorder="1"/>
    <xf numFmtId="0" fontId="0" fillId="2" borderId="18" xfId="0" applyFill="1" applyBorder="1"/>
    <xf numFmtId="0" fontId="0" fillId="2" borderId="19" xfId="0" applyFill="1" applyBorder="1"/>
    <xf numFmtId="0" fontId="0" fillId="12" borderId="15" xfId="0" applyFill="1" applyBorder="1"/>
    <xf numFmtId="43" fontId="0" fillId="2" borderId="0" xfId="0" applyNumberFormat="1" applyFill="1"/>
    <xf numFmtId="0" fontId="3" fillId="13" borderId="0" xfId="0" applyFont="1" applyFill="1"/>
    <xf numFmtId="43" fontId="0" fillId="2" borderId="0" xfId="2" applyFont="1" applyFill="1" applyBorder="1"/>
    <xf numFmtId="43" fontId="0" fillId="2" borderId="16" xfId="0" applyNumberFormat="1" applyFill="1" applyBorder="1"/>
    <xf numFmtId="0" fontId="0" fillId="12" borderId="20" xfId="0" applyFill="1" applyBorder="1"/>
    <xf numFmtId="43" fontId="0" fillId="2" borderId="21" xfId="0" applyNumberFormat="1" applyFill="1" applyBorder="1"/>
    <xf numFmtId="0" fontId="3" fillId="13" borderId="21" xfId="0" applyFont="1" applyFill="1" applyBorder="1"/>
    <xf numFmtId="43" fontId="0" fillId="2" borderId="21" xfId="2" applyFont="1" applyFill="1" applyBorder="1"/>
    <xf numFmtId="43" fontId="0" fillId="2" borderId="22" xfId="0" applyNumberFormat="1" applyFill="1" applyBorder="1"/>
    <xf numFmtId="0" fontId="0" fillId="2" borderId="0" xfId="0" applyFill="1" applyAlignment="1">
      <alignment horizontal="center"/>
    </xf>
    <xf numFmtId="0" fontId="3" fillId="13" borderId="0" xfId="0" applyFont="1" applyFill="1" applyAlignment="1">
      <alignment horizontal="right"/>
    </xf>
    <xf numFmtId="43" fontId="0" fillId="2" borderId="0" xfId="0" applyNumberFormat="1" applyFill="1" applyAlignment="1">
      <alignment horizontal="right"/>
    </xf>
    <xf numFmtId="43" fontId="0" fillId="2" borderId="16" xfId="0" applyNumberFormat="1" applyFill="1" applyBorder="1" applyAlignment="1">
      <alignment horizontal="right"/>
    </xf>
    <xf numFmtId="0" fontId="3" fillId="13" borderId="21" xfId="0" applyFont="1" applyFill="1" applyBorder="1" applyAlignment="1">
      <alignment horizontal="right"/>
    </xf>
    <xf numFmtId="43" fontId="0" fillId="2" borderId="21" xfId="0" applyNumberFormat="1" applyFill="1" applyBorder="1" applyAlignment="1">
      <alignment horizontal="right"/>
    </xf>
    <xf numFmtId="43" fontId="0" fillId="2" borderId="22" xfId="0" applyNumberFormat="1" applyFill="1" applyBorder="1" applyAlignment="1">
      <alignment horizontal="right"/>
    </xf>
    <xf numFmtId="8" fontId="0" fillId="2" borderId="0" xfId="0" applyNumberFormat="1" applyFill="1"/>
    <xf numFmtId="0" fontId="10" fillId="0" borderId="0" xfId="0" applyFont="1"/>
    <xf numFmtId="0" fontId="3" fillId="14" borderId="0" xfId="0" applyFont="1" applyFill="1" applyAlignment="1">
      <alignment horizontal="right" vertical="center"/>
    </xf>
    <xf numFmtId="0" fontId="3" fillId="16" borderId="0" xfId="5" applyFont="1" applyFill="1"/>
    <xf numFmtId="164" fontId="1" fillId="16" borderId="0" xfId="5" applyNumberFormat="1" applyFont="1" applyFill="1"/>
    <xf numFmtId="164" fontId="1" fillId="16" borderId="0" xfId="0" applyNumberFormat="1" applyFont="1" applyFill="1"/>
    <xf numFmtId="0" fontId="3" fillId="8" borderId="0" xfId="3"/>
    <xf numFmtId="0" fontId="3" fillId="8" borderId="0" xfId="3" applyAlignment="1">
      <alignment horizontal="right" vertical="center" wrapText="1"/>
    </xf>
    <xf numFmtId="0" fontId="3" fillId="8" borderId="0" xfId="3" applyAlignment="1">
      <alignment horizontal="right" vertical="center"/>
    </xf>
    <xf numFmtId="0" fontId="8" fillId="0" borderId="0" xfId="0" applyFont="1"/>
    <xf numFmtId="0" fontId="8" fillId="10" borderId="0" xfId="5"/>
    <xf numFmtId="164" fontId="8" fillId="10" borderId="0" xfId="5" applyNumberFormat="1"/>
    <xf numFmtId="164" fontId="8" fillId="15" borderId="0" xfId="0" applyNumberFormat="1" applyFont="1" applyFill="1"/>
    <xf numFmtId="0" fontId="8" fillId="15" borderId="0" xfId="0" applyFont="1" applyFill="1" applyAlignment="1">
      <alignment horizontal="center"/>
    </xf>
    <xf numFmtId="43" fontId="8" fillId="0" borderId="0" xfId="0" applyNumberFormat="1" applyFont="1"/>
    <xf numFmtId="0" fontId="8" fillId="9" borderId="0" xfId="4"/>
    <xf numFmtId="0" fontId="0" fillId="0" borderId="15" xfId="0" applyBorder="1"/>
    <xf numFmtId="0" fontId="0" fillId="0" borderId="0" xfId="0" applyAlignment="1">
      <alignment horizontal="right"/>
    </xf>
    <xf numFmtId="0" fontId="0" fillId="0" borderId="16" xfId="0" applyBorder="1"/>
    <xf numFmtId="0" fontId="0" fillId="0" borderId="20" xfId="0" applyBorder="1"/>
    <xf numFmtId="0" fontId="0" fillId="0" borderId="21" xfId="0" applyBorder="1"/>
    <xf numFmtId="0" fontId="0" fillId="0" borderId="24" xfId="0" applyBorder="1"/>
    <xf numFmtId="0" fontId="0" fillId="0" borderId="25" xfId="0" applyBorder="1"/>
    <xf numFmtId="0" fontId="0" fillId="0" borderId="29" xfId="0" applyBorder="1"/>
    <xf numFmtId="0" fontId="0" fillId="0" borderId="30" xfId="0" applyBorder="1"/>
    <xf numFmtId="0" fontId="0" fillId="0" borderId="31" xfId="0" applyBorder="1"/>
    <xf numFmtId="0" fontId="0" fillId="4" borderId="31" xfId="0" applyFill="1" applyBorder="1"/>
    <xf numFmtId="0" fontId="0" fillId="0" borderId="32" xfId="0" applyBorder="1"/>
    <xf numFmtId="0" fontId="3" fillId="17" borderId="26" xfId="0" applyFont="1" applyFill="1" applyBorder="1" applyAlignment="1">
      <alignment horizontal="center" vertical="center" wrapText="1"/>
    </xf>
    <xf numFmtId="0" fontId="3" fillId="17" borderId="27" xfId="0" applyFont="1" applyFill="1" applyBorder="1" applyAlignment="1">
      <alignment horizontal="center" vertical="center" wrapText="1"/>
    </xf>
    <xf numFmtId="0" fontId="3" fillId="17" borderId="28" xfId="0" applyFont="1" applyFill="1" applyBorder="1" applyAlignment="1">
      <alignment horizontal="center" vertical="center" wrapText="1"/>
    </xf>
    <xf numFmtId="0" fontId="2" fillId="0" borderId="0" xfId="0" applyFont="1" applyAlignment="1">
      <alignment horizontal="center"/>
    </xf>
    <xf numFmtId="164" fontId="2" fillId="0" borderId="0" xfId="0" applyNumberFormat="1" applyFont="1"/>
    <xf numFmtId="164" fontId="8" fillId="0" borderId="0" xfId="0" applyNumberFormat="1" applyFont="1"/>
    <xf numFmtId="164" fontId="1" fillId="16" borderId="0" xfId="0" applyNumberFormat="1" applyFont="1" applyFill="1" applyAlignment="1">
      <alignment horizontal="center"/>
    </xf>
    <xf numFmtId="0" fontId="8" fillId="0" borderId="33" xfId="0" applyFont="1" applyBorder="1"/>
    <xf numFmtId="0" fontId="0" fillId="0" borderId="33" xfId="0" applyBorder="1"/>
    <xf numFmtId="0" fontId="12" fillId="0" borderId="24" xfId="0" applyFont="1" applyBorder="1" applyAlignment="1">
      <alignment horizontal="center"/>
    </xf>
    <xf numFmtId="164" fontId="12" fillId="0" borderId="24" xfId="0" applyNumberFormat="1" applyFont="1" applyBorder="1" applyAlignment="1">
      <alignment horizontal="center"/>
    </xf>
    <xf numFmtId="0" fontId="8" fillId="0" borderId="24" xfId="0" applyFont="1" applyBorder="1"/>
    <xf numFmtId="0" fontId="8" fillId="0" borderId="24" xfId="0" applyFont="1" applyBorder="1" applyAlignment="1">
      <alignment horizontal="center"/>
    </xf>
    <xf numFmtId="164" fontId="0" fillId="0" borderId="24" xfId="0" applyNumberFormat="1" applyBorder="1"/>
    <xf numFmtId="164" fontId="8" fillId="0" borderId="24" xfId="0" applyNumberFormat="1" applyFont="1" applyBorder="1" applyAlignment="1">
      <alignment horizontal="center"/>
    </xf>
    <xf numFmtId="0" fontId="7" fillId="0" borderId="0" xfId="0" applyFont="1" applyAlignment="1">
      <alignment horizontal="center"/>
    </xf>
    <xf numFmtId="164" fontId="1" fillId="18" borderId="0" xfId="0" applyNumberFormat="1" applyFont="1" applyFill="1" applyAlignment="1">
      <alignment horizontal="center"/>
    </xf>
    <xf numFmtId="0" fontId="14" fillId="0" borderId="0" xfId="0" applyFont="1" applyAlignment="1">
      <alignment horizontal="right"/>
    </xf>
    <xf numFmtId="0" fontId="8" fillId="0" borderId="0" xfId="6" applyFill="1"/>
    <xf numFmtId="0" fontId="13" fillId="0" borderId="0" xfId="6" applyFont="1" applyFill="1"/>
    <xf numFmtId="0" fontId="13" fillId="0" borderId="0" xfId="0" applyFont="1"/>
    <xf numFmtId="0" fontId="15" fillId="0" borderId="0" xfId="6" applyFont="1" applyFill="1"/>
    <xf numFmtId="0" fontId="8" fillId="19" borderId="0" xfId="0" applyFont="1" applyFill="1"/>
    <xf numFmtId="164" fontId="2" fillId="0" borderId="34" xfId="0" applyNumberFormat="1" applyFont="1" applyBorder="1" applyAlignment="1">
      <alignment horizontal="center"/>
    </xf>
    <xf numFmtId="0" fontId="1" fillId="20" borderId="0" xfId="6" applyFont="1" applyFill="1" applyAlignment="1">
      <alignment horizontal="center"/>
    </xf>
    <xf numFmtId="9" fontId="1" fillId="20" borderId="23" xfId="1" applyFont="1" applyFill="1" applyBorder="1" applyAlignment="1">
      <alignment horizontal="center"/>
    </xf>
    <xf numFmtId="0" fontId="0" fillId="20" borderId="0" xfId="0" applyFill="1"/>
    <xf numFmtId="9" fontId="2" fillId="0" borderId="0" xfId="1" applyFont="1" applyBorder="1" applyAlignment="1">
      <alignment horizontal="center"/>
    </xf>
    <xf numFmtId="9" fontId="8" fillId="0" borderId="0" xfId="1" applyFont="1" applyBorder="1" applyAlignment="1">
      <alignment horizontal="left"/>
    </xf>
    <xf numFmtId="1" fontId="8" fillId="0" borderId="0" xfId="1" applyNumberFormat="1" applyFont="1" applyBorder="1" applyAlignment="1">
      <alignment horizontal="center"/>
    </xf>
    <xf numFmtId="166" fontId="8" fillId="0" borderId="0" xfId="1" applyNumberFormat="1" applyFont="1" applyBorder="1" applyAlignment="1">
      <alignment horizontal="center"/>
    </xf>
    <xf numFmtId="0" fontId="17" fillId="0" borderId="0" xfId="0" applyFont="1"/>
    <xf numFmtId="2" fontId="10" fillId="0" borderId="0" xfId="0" applyNumberFormat="1" applyFont="1"/>
    <xf numFmtId="0" fontId="2" fillId="0" borderId="36" xfId="0" applyFont="1" applyBorder="1" applyAlignment="1">
      <alignment horizontal="center"/>
    </xf>
    <xf numFmtId="164" fontId="8" fillId="21" borderId="36" xfId="0" applyNumberFormat="1" applyFont="1" applyFill="1" applyBorder="1" applyAlignment="1">
      <alignment horizontal="center"/>
    </xf>
    <xf numFmtId="9" fontId="8" fillId="0" borderId="0" xfId="1" applyFont="1" applyBorder="1" applyAlignment="1">
      <alignment horizontal="center"/>
    </xf>
    <xf numFmtId="167" fontId="2" fillId="0" borderId="36" xfId="1" applyNumberFormat="1" applyFont="1" applyBorder="1" applyAlignment="1">
      <alignment horizontal="center"/>
    </xf>
    <xf numFmtId="0" fontId="10" fillId="0" borderId="36" xfId="0" applyFont="1" applyBorder="1" applyAlignment="1">
      <alignment horizontal="center" wrapText="1"/>
    </xf>
    <xf numFmtId="0" fontId="18" fillId="22" borderId="0" xfId="0" applyFont="1" applyFill="1"/>
    <xf numFmtId="0" fontId="18" fillId="0" borderId="0" xfId="0" applyFont="1" applyAlignment="1">
      <alignment horizontal="right"/>
    </xf>
    <xf numFmtId="0" fontId="18" fillId="0" borderId="37" xfId="0" applyFont="1" applyBorder="1" applyAlignment="1">
      <alignment horizontal="center"/>
    </xf>
    <xf numFmtId="0" fontId="18" fillId="0" borderId="0" xfId="0" applyFont="1" applyAlignment="1">
      <alignment horizontal="left"/>
    </xf>
    <xf numFmtId="0" fontId="17" fillId="22" borderId="38" xfId="0" applyFont="1" applyFill="1" applyBorder="1" applyAlignment="1">
      <alignment horizontal="right"/>
    </xf>
    <xf numFmtId="0" fontId="17" fillId="22" borderId="38" xfId="0" applyFont="1" applyFill="1" applyBorder="1" applyAlignment="1">
      <alignment horizontal="center"/>
    </xf>
    <xf numFmtId="0" fontId="17" fillId="22" borderId="38" xfId="0" applyFont="1" applyFill="1" applyBorder="1"/>
    <xf numFmtId="9" fontId="10" fillId="0" borderId="0" xfId="0" applyNumberFormat="1" applyFont="1" applyAlignment="1">
      <alignment horizontal="right"/>
    </xf>
    <xf numFmtId="10" fontId="10" fillId="0" borderId="37" xfId="0" applyNumberFormat="1" applyFont="1" applyBorder="1" applyAlignment="1">
      <alignment horizontal="center"/>
    </xf>
    <xf numFmtId="8" fontId="10" fillId="0" borderId="0" xfId="0" applyNumberFormat="1" applyFont="1"/>
    <xf numFmtId="0" fontId="10" fillId="0" borderId="38" xfId="0" applyFont="1" applyBorder="1"/>
    <xf numFmtId="0" fontId="10" fillId="21" borderId="38" xfId="0" applyFont="1" applyFill="1" applyBorder="1" applyAlignment="1">
      <alignment horizontal="center"/>
    </xf>
    <xf numFmtId="2" fontId="10" fillId="0" borderId="38" xfId="0" applyNumberFormat="1" applyFont="1" applyBorder="1" applyAlignment="1">
      <alignment horizontal="center"/>
    </xf>
    <xf numFmtId="0" fontId="10" fillId="0" borderId="38" xfId="0" applyFont="1" applyBorder="1" applyAlignment="1">
      <alignment horizontal="left"/>
    </xf>
    <xf numFmtId="10" fontId="10" fillId="0" borderId="37" xfId="1" applyNumberFormat="1" applyFont="1" applyBorder="1" applyAlignment="1">
      <alignment horizontal="center"/>
    </xf>
    <xf numFmtId="2" fontId="19" fillId="21" borderId="38" xfId="0" applyNumberFormat="1" applyFont="1" applyFill="1" applyBorder="1" applyAlignment="1">
      <alignment horizontal="center"/>
    </xf>
    <xf numFmtId="0" fontId="18" fillId="23" borderId="0" xfId="0" applyFont="1" applyFill="1"/>
    <xf numFmtId="0" fontId="0" fillId="23" borderId="0" xfId="0" applyFill="1"/>
    <xf numFmtId="9" fontId="0" fillId="0" borderId="0" xfId="1" applyFont="1" applyFill="1"/>
    <xf numFmtId="0" fontId="10" fillId="2" borderId="0" xfId="0" applyFont="1" applyFill="1"/>
    <xf numFmtId="164" fontId="10" fillId="2" borderId="0" xfId="0" applyNumberFormat="1" applyFont="1" applyFill="1"/>
    <xf numFmtId="0" fontId="10" fillId="2" borderId="24" xfId="0" applyFont="1" applyFill="1" applyBorder="1" applyAlignment="1">
      <alignment horizontal="center"/>
    </xf>
    <xf numFmtId="168" fontId="10" fillId="2" borderId="24" xfId="0" applyNumberFormat="1" applyFont="1" applyFill="1" applyBorder="1"/>
    <xf numFmtId="0" fontId="10" fillId="0" borderId="24" xfId="0" applyFont="1" applyBorder="1" applyAlignment="1">
      <alignment horizontal="center"/>
    </xf>
    <xf numFmtId="0" fontId="2" fillId="0" borderId="41" xfId="0" applyFont="1" applyBorder="1" applyAlignment="1">
      <alignment horizontal="right"/>
    </xf>
    <xf numFmtId="8" fontId="2" fillId="0" borderId="40" xfId="0" applyNumberFormat="1" applyFont="1" applyBorder="1" applyAlignment="1">
      <alignment horizontal="right"/>
    </xf>
    <xf numFmtId="0" fontId="0" fillId="0" borderId="49" xfId="0" applyBorder="1"/>
    <xf numFmtId="0" fontId="0" fillId="0" borderId="5" xfId="0" applyBorder="1"/>
    <xf numFmtId="0" fontId="7" fillId="0" borderId="50" xfId="0" applyFont="1" applyBorder="1"/>
    <xf numFmtId="0" fontId="0" fillId="0" borderId="51" xfId="0" applyBorder="1"/>
    <xf numFmtId="0" fontId="7" fillId="0" borderId="6" xfId="0" applyFont="1" applyBorder="1"/>
    <xf numFmtId="0" fontId="0" fillId="0" borderId="52" xfId="0" applyBorder="1"/>
    <xf numFmtId="0" fontId="0" fillId="0" borderId="7" xfId="0" applyBorder="1"/>
    <xf numFmtId="0" fontId="14" fillId="2" borderId="53" xfId="0" applyFont="1" applyFill="1" applyBorder="1"/>
    <xf numFmtId="164" fontId="14" fillId="2" borderId="55" xfId="0" applyNumberFormat="1" applyFont="1" applyFill="1" applyBorder="1"/>
    <xf numFmtId="49" fontId="21" fillId="3" borderId="54" xfId="0" applyNumberFormat="1" applyFont="1" applyFill="1" applyBorder="1"/>
    <xf numFmtId="0" fontId="14" fillId="2" borderId="6" xfId="0" applyFont="1" applyFill="1" applyBorder="1"/>
    <xf numFmtId="0" fontId="14" fillId="2" borderId="52" xfId="0" applyFont="1" applyFill="1" applyBorder="1"/>
    <xf numFmtId="164" fontId="14" fillId="2" borderId="7" xfId="0" applyNumberFormat="1" applyFont="1" applyFill="1" applyBorder="1"/>
    <xf numFmtId="0" fontId="10" fillId="2" borderId="56" xfId="0" applyFont="1" applyFill="1" applyBorder="1" applyAlignment="1">
      <alignment horizontal="center"/>
    </xf>
    <xf numFmtId="0" fontId="10" fillId="0" borderId="56" xfId="0" applyFont="1" applyBorder="1" applyAlignment="1">
      <alignment horizontal="center"/>
    </xf>
    <xf numFmtId="10" fontId="10" fillId="2" borderId="57" xfId="1" applyNumberFormat="1" applyFont="1" applyFill="1" applyBorder="1"/>
    <xf numFmtId="0" fontId="10" fillId="2" borderId="61" xfId="0" applyFont="1" applyFill="1" applyBorder="1" applyAlignment="1">
      <alignment horizontal="center"/>
    </xf>
    <xf numFmtId="168" fontId="10" fillId="2" borderId="61" xfId="0" applyNumberFormat="1" applyFont="1" applyFill="1" applyBorder="1" applyAlignment="1">
      <alignment horizontal="center"/>
    </xf>
    <xf numFmtId="0" fontId="10" fillId="0" borderId="61" xfId="0" applyFont="1" applyBorder="1" applyAlignment="1">
      <alignment horizontal="center"/>
    </xf>
    <xf numFmtId="0" fontId="10" fillId="2" borderId="62" xfId="0" applyFont="1" applyFill="1" applyBorder="1" applyAlignment="1">
      <alignment horizontal="center"/>
    </xf>
    <xf numFmtId="0" fontId="10" fillId="0" borderId="62" xfId="0" applyFont="1" applyBorder="1" applyAlignment="1">
      <alignment horizontal="center"/>
    </xf>
    <xf numFmtId="0" fontId="10" fillId="2" borderId="64" xfId="0" applyFont="1" applyFill="1" applyBorder="1" applyAlignment="1">
      <alignment horizontal="center"/>
    </xf>
    <xf numFmtId="0" fontId="10" fillId="2" borderId="65" xfId="0" applyFont="1" applyFill="1" applyBorder="1" applyAlignment="1">
      <alignment horizontal="center"/>
    </xf>
    <xf numFmtId="168" fontId="10" fillId="2" borderId="65" xfId="0" applyNumberFormat="1" applyFont="1" applyFill="1" applyBorder="1" applyAlignment="1">
      <alignment horizontal="center"/>
    </xf>
    <xf numFmtId="10" fontId="10" fillId="2" borderId="66" xfId="1" applyNumberFormat="1" applyFont="1" applyFill="1" applyBorder="1" applyAlignment="1">
      <alignment horizontal="center"/>
    </xf>
    <xf numFmtId="0" fontId="21" fillId="2" borderId="67" xfId="0" applyFont="1" applyFill="1" applyBorder="1"/>
    <xf numFmtId="0" fontId="14" fillId="2" borderId="68" xfId="0" applyFont="1" applyFill="1" applyBorder="1"/>
    <xf numFmtId="164" fontId="14" fillId="2" borderId="69" xfId="0" applyNumberFormat="1" applyFont="1" applyFill="1" applyBorder="1"/>
    <xf numFmtId="0" fontId="10" fillId="2" borderId="72" xfId="0" applyFont="1" applyFill="1" applyBorder="1" applyAlignment="1">
      <alignment horizontal="center"/>
    </xf>
    <xf numFmtId="0" fontId="10" fillId="2" borderId="73" xfId="0" applyFont="1" applyFill="1" applyBorder="1" applyAlignment="1">
      <alignment horizontal="center"/>
    </xf>
    <xf numFmtId="168" fontId="10" fillId="2" borderId="73" xfId="0" applyNumberFormat="1" applyFont="1" applyFill="1" applyBorder="1" applyAlignment="1">
      <alignment horizontal="center"/>
    </xf>
    <xf numFmtId="9" fontId="10" fillId="2" borderId="74" xfId="1" applyFont="1" applyFill="1" applyBorder="1" applyAlignment="1">
      <alignment horizontal="center"/>
    </xf>
    <xf numFmtId="0" fontId="10" fillId="2" borderId="79" xfId="0" applyFont="1" applyFill="1" applyBorder="1" applyAlignment="1">
      <alignment horizontal="center"/>
    </xf>
    <xf numFmtId="0" fontId="10" fillId="2" borderId="35" xfId="0" applyFont="1" applyFill="1" applyBorder="1" applyAlignment="1">
      <alignment horizontal="center"/>
    </xf>
    <xf numFmtId="168" fontId="10" fillId="2" borderId="35" xfId="0" applyNumberFormat="1" applyFont="1" applyFill="1" applyBorder="1"/>
    <xf numFmtId="9" fontId="10" fillId="2" borderId="80" xfId="1" applyFont="1" applyFill="1" applyBorder="1" applyAlignment="1">
      <alignment horizontal="center"/>
    </xf>
    <xf numFmtId="0" fontId="19" fillId="20" borderId="40" xfId="0" applyFont="1" applyFill="1" applyBorder="1" applyAlignment="1">
      <alignment horizontal="center"/>
    </xf>
    <xf numFmtId="0" fontId="22" fillId="20" borderId="40" xfId="0" applyFont="1" applyFill="1" applyBorder="1" applyAlignment="1">
      <alignment horizontal="center"/>
    </xf>
    <xf numFmtId="164" fontId="3" fillId="20" borderId="40" xfId="0" applyNumberFormat="1" applyFont="1" applyFill="1" applyBorder="1" applyAlignment="1">
      <alignment horizontal="center"/>
    </xf>
    <xf numFmtId="0" fontId="0" fillId="0" borderId="4" xfId="0" applyBorder="1"/>
    <xf numFmtId="0" fontId="0" fillId="0" borderId="50" xfId="0" applyBorder="1"/>
    <xf numFmtId="166" fontId="0" fillId="0" borderId="0" xfId="0" applyNumberFormat="1"/>
    <xf numFmtId="0" fontId="0" fillId="0" borderId="6" xfId="0" applyBorder="1"/>
    <xf numFmtId="0" fontId="2" fillId="0" borderId="0" xfId="0" applyFont="1" applyAlignment="1">
      <alignment horizontal="left"/>
    </xf>
    <xf numFmtId="0" fontId="4" fillId="0" borderId="6" xfId="0" applyFont="1" applyBorder="1"/>
    <xf numFmtId="0" fontId="4" fillId="0" borderId="52" xfId="0" applyFont="1" applyBorder="1"/>
    <xf numFmtId="0" fontId="2" fillId="0" borderId="0" xfId="0" applyFont="1" applyAlignment="1">
      <alignment horizontal="left" wrapText="1"/>
    </xf>
    <xf numFmtId="166" fontId="2" fillId="0" borderId="0" xfId="0" applyNumberFormat="1" applyFont="1"/>
    <xf numFmtId="166" fontId="2" fillId="0" borderId="0" xfId="0" applyNumberFormat="1" applyFont="1" applyAlignment="1">
      <alignment horizontal="left" wrapText="1"/>
    </xf>
    <xf numFmtId="2" fontId="0" fillId="0" borderId="51" xfId="0" applyNumberFormat="1" applyBorder="1"/>
    <xf numFmtId="1" fontId="0" fillId="0" borderId="0" xfId="0" applyNumberFormat="1" applyAlignment="1">
      <alignment horizontal="center"/>
    </xf>
    <xf numFmtId="1" fontId="0" fillId="0" borderId="0" xfId="0" applyNumberFormat="1"/>
    <xf numFmtId="0" fontId="9" fillId="0" borderId="0" xfId="0" applyFont="1" applyAlignment="1">
      <alignment horizontal="center" vertical="center"/>
    </xf>
    <xf numFmtId="0" fontId="9" fillId="0" borderId="0" xfId="0" applyFont="1"/>
    <xf numFmtId="0" fontId="9" fillId="0" borderId="0" xfId="0" applyFont="1" applyAlignment="1">
      <alignment wrapText="1"/>
    </xf>
    <xf numFmtId="0" fontId="0" fillId="0" borderId="40" xfId="0" applyBorder="1"/>
    <xf numFmtId="0" fontId="2" fillId="0" borderId="4" xfId="0" applyFont="1" applyBorder="1"/>
    <xf numFmtId="0" fontId="0" fillId="0" borderId="8" xfId="0" applyBorder="1"/>
    <xf numFmtId="0" fontId="2" fillId="0" borderId="40" xfId="0" applyFont="1" applyBorder="1" applyAlignment="1">
      <alignment vertical="top"/>
    </xf>
    <xf numFmtId="0" fontId="0" fillId="0" borderId="9" xfId="0" applyBorder="1"/>
    <xf numFmtId="0" fontId="0" fillId="0" borderId="40" xfId="0" applyBorder="1" applyAlignment="1">
      <alignment wrapText="1"/>
    </xf>
    <xf numFmtId="0" fontId="2" fillId="0" borderId="41" xfId="0" applyFont="1" applyBorder="1" applyAlignment="1">
      <alignment vertical="top" wrapText="1"/>
    </xf>
    <xf numFmtId="0" fontId="0" fillId="0" borderId="40" xfId="0" applyBorder="1" applyAlignment="1">
      <alignment horizontal="left" wrapText="1"/>
    </xf>
    <xf numFmtId="0" fontId="1" fillId="24" borderId="0" xfId="0" applyFont="1" applyFill="1"/>
    <xf numFmtId="0" fontId="3" fillId="24" borderId="0" xfId="0" applyFont="1" applyFill="1"/>
    <xf numFmtId="0" fontId="2" fillId="0" borderId="50" xfId="0" applyFont="1" applyBorder="1"/>
    <xf numFmtId="0" fontId="4" fillId="0" borderId="50" xfId="0" applyFont="1" applyBorder="1"/>
    <xf numFmtId="0" fontId="8" fillId="0" borderId="50" xfId="0" applyFont="1" applyBorder="1"/>
    <xf numFmtId="0" fontId="2" fillId="0" borderId="84" xfId="0" applyFont="1" applyBorder="1" applyAlignment="1">
      <alignment horizontal="left"/>
    </xf>
    <xf numFmtId="0" fontId="12" fillId="0" borderId="56" xfId="0" applyFont="1" applyBorder="1" applyAlignment="1">
      <alignment horizontal="left"/>
    </xf>
    <xf numFmtId="0" fontId="11" fillId="0" borderId="56" xfId="0" applyFont="1" applyBorder="1" applyAlignment="1">
      <alignment horizontal="left" vertical="center" readingOrder="1"/>
    </xf>
    <xf numFmtId="0" fontId="10" fillId="0" borderId="50" xfId="0" applyFont="1" applyBorder="1"/>
    <xf numFmtId="0" fontId="7" fillId="0" borderId="52" xfId="0" applyFont="1" applyBorder="1" applyAlignment="1">
      <alignment horizontal="right"/>
    </xf>
    <xf numFmtId="164" fontId="0" fillId="0" borderId="52" xfId="0" applyNumberFormat="1" applyBorder="1" applyAlignment="1">
      <alignment horizontal="center"/>
    </xf>
    <xf numFmtId="0" fontId="0" fillId="25" borderId="42" xfId="0" applyFill="1" applyBorder="1"/>
    <xf numFmtId="0" fontId="0" fillId="25" borderId="11" xfId="0" applyFill="1" applyBorder="1" applyAlignment="1">
      <alignment horizontal="center"/>
    </xf>
    <xf numFmtId="164" fontId="0" fillId="25" borderId="11" xfId="0" applyNumberFormat="1" applyFill="1" applyBorder="1" applyAlignment="1">
      <alignment horizontal="center"/>
    </xf>
    <xf numFmtId="0" fontId="0" fillId="25" borderId="44" xfId="0" applyFill="1" applyBorder="1"/>
    <xf numFmtId="0" fontId="0" fillId="25" borderId="10" xfId="0" applyFill="1" applyBorder="1" applyAlignment="1">
      <alignment horizontal="center"/>
    </xf>
    <xf numFmtId="164" fontId="0" fillId="25" borderId="10" xfId="0" applyNumberFormat="1" applyFill="1" applyBorder="1" applyAlignment="1">
      <alignment horizontal="center"/>
    </xf>
    <xf numFmtId="0" fontId="0" fillId="25" borderId="44" xfId="0" applyFill="1" applyBorder="1" applyAlignment="1">
      <alignment horizontal="left"/>
    </xf>
    <xf numFmtId="0" fontId="0" fillId="25" borderId="46" xfId="0" applyFill="1" applyBorder="1"/>
    <xf numFmtId="0" fontId="0" fillId="25" borderId="47" xfId="0" applyFill="1" applyBorder="1" applyAlignment="1">
      <alignment horizontal="center"/>
    </xf>
    <xf numFmtId="164" fontId="0" fillId="25" borderId="47" xfId="0" applyNumberFormat="1" applyFill="1" applyBorder="1" applyAlignment="1">
      <alignment horizontal="center"/>
    </xf>
    <xf numFmtId="0" fontId="0" fillId="22" borderId="11" xfId="0" applyFill="1" applyBorder="1" applyAlignment="1">
      <alignment horizontal="center"/>
    </xf>
    <xf numFmtId="0" fontId="0" fillId="22" borderId="10" xfId="0" applyFill="1" applyBorder="1" applyAlignment="1">
      <alignment horizontal="center"/>
    </xf>
    <xf numFmtId="0" fontId="0" fillId="22" borderId="47" xfId="0" applyFill="1" applyBorder="1" applyAlignment="1">
      <alignment horizontal="center"/>
    </xf>
    <xf numFmtId="0" fontId="0" fillId="22" borderId="43" xfId="0" applyFill="1" applyBorder="1" applyAlignment="1">
      <alignment horizontal="center"/>
    </xf>
    <xf numFmtId="0" fontId="0" fillId="22" borderId="45" xfId="0" applyFill="1" applyBorder="1" applyAlignment="1">
      <alignment horizontal="center"/>
    </xf>
    <xf numFmtId="0" fontId="0" fillId="22" borderId="48" xfId="0" applyFill="1" applyBorder="1" applyAlignment="1">
      <alignment horizontal="center"/>
    </xf>
    <xf numFmtId="0" fontId="5" fillId="22" borderId="4" xfId="0" applyFont="1" applyFill="1" applyBorder="1" applyAlignment="1">
      <alignment horizontal="left"/>
    </xf>
    <xf numFmtId="0" fontId="0" fillId="25" borderId="85" xfId="0" applyFill="1" applyBorder="1"/>
    <xf numFmtId="0" fontId="0" fillId="22" borderId="86" xfId="0" applyFill="1" applyBorder="1" applyAlignment="1">
      <alignment horizontal="center"/>
    </xf>
    <xf numFmtId="164" fontId="0" fillId="25" borderId="86" xfId="0" applyNumberFormat="1" applyFill="1" applyBorder="1" applyAlignment="1">
      <alignment horizontal="center"/>
    </xf>
    <xf numFmtId="0" fontId="0" fillId="22" borderId="87" xfId="0" applyFill="1" applyBorder="1" applyAlignment="1">
      <alignment horizontal="center"/>
    </xf>
    <xf numFmtId="0" fontId="1" fillId="20" borderId="50" xfId="0" applyFont="1" applyFill="1" applyBorder="1"/>
    <xf numFmtId="0" fontId="1" fillId="20" borderId="0" xfId="0" applyFont="1" applyFill="1"/>
    <xf numFmtId="0" fontId="1" fillId="20" borderId="51" xfId="0" applyFont="1" applyFill="1" applyBorder="1"/>
    <xf numFmtId="0" fontId="10" fillId="0" borderId="6" xfId="0" applyFont="1" applyBorder="1"/>
    <xf numFmtId="0" fontId="10" fillId="0" borderId="52" xfId="0" applyFont="1" applyBorder="1"/>
    <xf numFmtId="0" fontId="10" fillId="0" borderId="7" xfId="0" applyFont="1" applyBorder="1"/>
    <xf numFmtId="0" fontId="5" fillId="0" borderId="49" xfId="0" applyFont="1" applyBorder="1"/>
    <xf numFmtId="0" fontId="5" fillId="0" borderId="5" xfId="0" applyFont="1" applyBorder="1"/>
    <xf numFmtId="0" fontId="5" fillId="22" borderId="4" xfId="0" applyFont="1" applyFill="1" applyBorder="1"/>
    <xf numFmtId="0" fontId="13" fillId="0" borderId="8" xfId="0" applyFont="1" applyBorder="1"/>
    <xf numFmtId="0" fontId="12" fillId="0" borderId="8" xfId="0" applyFont="1" applyBorder="1" applyAlignment="1">
      <alignment horizontal="center"/>
    </xf>
    <xf numFmtId="0" fontId="13" fillId="0" borderId="5" xfId="0" applyFont="1" applyBorder="1"/>
    <xf numFmtId="0" fontId="12" fillId="0" borderId="9" xfId="0" applyFont="1" applyBorder="1" applyAlignment="1">
      <alignment horizontal="center"/>
    </xf>
    <xf numFmtId="0" fontId="12" fillId="0" borderId="7" xfId="0" applyFont="1" applyBorder="1" applyAlignment="1">
      <alignment horizontal="center"/>
    </xf>
    <xf numFmtId="0" fontId="12" fillId="0" borderId="9" xfId="0" applyFont="1" applyBorder="1"/>
    <xf numFmtId="0" fontId="13" fillId="0" borderId="4" xfId="0" applyFont="1" applyBorder="1"/>
    <xf numFmtId="0" fontId="12" fillId="0" borderId="6" xfId="0" applyFont="1" applyBorder="1"/>
    <xf numFmtId="0" fontId="6" fillId="25" borderId="42" xfId="0" applyFont="1" applyFill="1" applyBorder="1"/>
    <xf numFmtId="49" fontId="6" fillId="25" borderId="44" xfId="0" applyNumberFormat="1" applyFont="1" applyFill="1" applyBorder="1"/>
    <xf numFmtId="49" fontId="6" fillId="26" borderId="44" xfId="0" applyNumberFormat="1" applyFont="1" applyFill="1" applyBorder="1"/>
    <xf numFmtId="49" fontId="6" fillId="26" borderId="46" xfId="0" applyNumberFormat="1" applyFont="1" applyFill="1" applyBorder="1"/>
    <xf numFmtId="0" fontId="10" fillId="0" borderId="51" xfId="0" applyFont="1" applyBorder="1"/>
    <xf numFmtId="0" fontId="12" fillId="0" borderId="51" xfId="0" applyFont="1" applyBorder="1" applyAlignment="1">
      <alignment horizontal="center"/>
    </xf>
    <xf numFmtId="0" fontId="12" fillId="0" borderId="88" xfId="0" applyFont="1" applyBorder="1"/>
    <xf numFmtId="0" fontId="12" fillId="0" borderId="88" xfId="0" applyFont="1" applyBorder="1" applyAlignment="1">
      <alignment horizontal="center"/>
    </xf>
    <xf numFmtId="0" fontId="12" fillId="22" borderId="10" xfId="0" applyFont="1" applyFill="1" applyBorder="1" applyAlignment="1">
      <alignment horizontal="center"/>
    </xf>
    <xf numFmtId="164" fontId="13" fillId="25" borderId="10" xfId="0" applyNumberFormat="1" applyFont="1" applyFill="1" applyBorder="1" applyAlignment="1">
      <alignment horizontal="center"/>
    </xf>
    <xf numFmtId="0" fontId="13" fillId="22" borderId="10" xfId="0" applyFont="1" applyFill="1" applyBorder="1" applyAlignment="1">
      <alignment horizontal="center"/>
    </xf>
    <xf numFmtId="0" fontId="13" fillId="25" borderId="44" xfId="0" applyFont="1" applyFill="1" applyBorder="1"/>
    <xf numFmtId="0" fontId="13" fillId="22" borderId="45" xfId="0" applyFont="1" applyFill="1" applyBorder="1" applyAlignment="1">
      <alignment horizontal="center"/>
    </xf>
    <xf numFmtId="0" fontId="13" fillId="25" borderId="46" xfId="0" applyFont="1" applyFill="1" applyBorder="1"/>
    <xf numFmtId="0" fontId="12" fillId="22" borderId="47" xfId="0" applyFont="1" applyFill="1" applyBorder="1" applyAlignment="1">
      <alignment horizontal="center"/>
    </xf>
    <xf numFmtId="164" fontId="13" fillId="25" borderId="47" xfId="0" applyNumberFormat="1" applyFont="1" applyFill="1" applyBorder="1" applyAlignment="1">
      <alignment horizontal="center"/>
    </xf>
    <xf numFmtId="0" fontId="13" fillId="22" borderId="47" xfId="0" applyFont="1" applyFill="1" applyBorder="1" applyAlignment="1">
      <alignment horizontal="center"/>
    </xf>
    <xf numFmtId="0" fontId="13" fillId="22" borderId="48" xfId="0" applyFont="1" applyFill="1" applyBorder="1" applyAlignment="1">
      <alignment horizontal="center"/>
    </xf>
    <xf numFmtId="0" fontId="12" fillId="0" borderId="6" xfId="0" applyFont="1" applyBorder="1" applyAlignment="1">
      <alignment horizontal="left"/>
    </xf>
    <xf numFmtId="0" fontId="2" fillId="0" borderId="41" xfId="0" applyFont="1" applyBorder="1"/>
    <xf numFmtId="0" fontId="2" fillId="0" borderId="6" xfId="0" applyFont="1" applyBorder="1"/>
    <xf numFmtId="43" fontId="0" fillId="0" borderId="0" xfId="0" applyNumberFormat="1"/>
    <xf numFmtId="0" fontId="2" fillId="0" borderId="40" xfId="0" applyFont="1" applyBorder="1"/>
    <xf numFmtId="0" fontId="13" fillId="2" borderId="0" xfId="0" applyFont="1" applyFill="1"/>
    <xf numFmtId="166" fontId="0" fillId="2" borderId="13" xfId="0" applyNumberFormat="1" applyFill="1" applyBorder="1"/>
    <xf numFmtId="166" fontId="0" fillId="2" borderId="0" xfId="0" applyNumberFormat="1" applyFill="1"/>
    <xf numFmtId="166" fontId="0" fillId="2" borderId="21" xfId="0" applyNumberFormat="1" applyFill="1" applyBorder="1"/>
    <xf numFmtId="166" fontId="2" fillId="2" borderId="0" xfId="0" applyNumberFormat="1" applyFont="1" applyFill="1"/>
    <xf numFmtId="0" fontId="24" fillId="0" borderId="0" xfId="0" applyFont="1"/>
    <xf numFmtId="0" fontId="25" fillId="0" borderId="0" xfId="0" applyFont="1"/>
    <xf numFmtId="164" fontId="25" fillId="0" borderId="0" xfId="0" applyNumberFormat="1" applyFont="1"/>
    <xf numFmtId="164" fontId="24" fillId="0" borderId="0" xfId="0" applyNumberFormat="1" applyFont="1"/>
    <xf numFmtId="14" fontId="0" fillId="0" borderId="0" xfId="0" applyNumberFormat="1"/>
    <xf numFmtId="164" fontId="26" fillId="0" borderId="0" xfId="0" applyNumberFormat="1" applyFont="1"/>
    <xf numFmtId="0" fontId="3" fillId="20" borderId="0" xfId="0" applyFont="1" applyFill="1" applyAlignment="1">
      <alignment horizontal="right"/>
    </xf>
    <xf numFmtId="0" fontId="0" fillId="20" borderId="0" xfId="0" applyFill="1" applyAlignment="1">
      <alignment horizontal="center"/>
    </xf>
    <xf numFmtId="164" fontId="0" fillId="20" borderId="0" xfId="0" applyNumberFormat="1" applyFill="1" applyAlignment="1">
      <alignment horizontal="center"/>
    </xf>
    <xf numFmtId="0" fontId="0" fillId="20" borderId="0" xfId="0" applyFill="1" applyAlignment="1">
      <alignment horizontal="right"/>
    </xf>
    <xf numFmtId="0" fontId="2" fillId="20" borderId="0" xfId="0" applyFont="1" applyFill="1"/>
    <xf numFmtId="166" fontId="0" fillId="20" borderId="0" xfId="0" applyNumberFormat="1" applyFill="1"/>
    <xf numFmtId="0" fontId="2" fillId="2" borderId="0" xfId="0" applyFont="1" applyFill="1"/>
    <xf numFmtId="0" fontId="27" fillId="2" borderId="0" xfId="0" applyFont="1" applyFill="1"/>
    <xf numFmtId="0" fontId="0" fillId="25" borderId="50" xfId="0" applyFill="1" applyBorder="1"/>
    <xf numFmtId="0" fontId="0" fillId="22" borderId="0" xfId="0" applyFill="1" applyAlignment="1">
      <alignment horizontal="center"/>
    </xf>
    <xf numFmtId="164" fontId="0" fillId="25" borderId="0" xfId="0" applyNumberFormat="1" applyFill="1" applyAlignment="1">
      <alignment horizontal="center"/>
    </xf>
    <xf numFmtId="164" fontId="8" fillId="0" borderId="90" xfId="0" applyNumberFormat="1" applyFont="1" applyBorder="1"/>
    <xf numFmtId="43" fontId="8" fillId="0" borderId="91" xfId="0" applyNumberFormat="1" applyFont="1" applyBorder="1"/>
    <xf numFmtId="0" fontId="8" fillId="0" borderId="92" xfId="0" applyFont="1" applyBorder="1"/>
    <xf numFmtId="164" fontId="8" fillId="0" borderId="92" xfId="0" applyNumberFormat="1" applyFont="1" applyBorder="1" applyAlignment="1">
      <alignment horizontal="left"/>
    </xf>
    <xf numFmtId="0" fontId="0" fillId="2" borderId="93" xfId="0" applyFill="1" applyBorder="1"/>
    <xf numFmtId="43" fontId="8" fillId="0" borderId="94" xfId="0" applyNumberFormat="1" applyFont="1" applyBorder="1" applyAlignment="1">
      <alignment horizontal="left"/>
    </xf>
    <xf numFmtId="44" fontId="8" fillId="0" borderId="91" xfId="0" applyNumberFormat="1" applyFont="1" applyBorder="1" applyAlignment="1">
      <alignment horizontal="left"/>
    </xf>
    <xf numFmtId="44" fontId="8" fillId="0" borderId="89" xfId="0" applyNumberFormat="1" applyFont="1" applyBorder="1"/>
    <xf numFmtId="44" fontId="28" fillId="0" borderId="0" xfId="0" applyNumberFormat="1" applyFont="1"/>
    <xf numFmtId="0" fontId="29" fillId="20" borderId="95" xfId="0" applyFont="1" applyFill="1" applyBorder="1" applyAlignment="1">
      <alignment horizontal="center"/>
    </xf>
    <xf numFmtId="0" fontId="28" fillId="0" borderId="95" xfId="0" applyFont="1" applyBorder="1"/>
    <xf numFmtId="0" fontId="28" fillId="0" borderId="95" xfId="0" applyFont="1" applyBorder="1" applyAlignment="1">
      <alignment horizontal="center"/>
    </xf>
    <xf numFmtId="44" fontId="28" fillId="0" borderId="95" xfId="0" applyNumberFormat="1" applyFont="1" applyBorder="1" applyAlignment="1">
      <alignment horizontal="center"/>
    </xf>
    <xf numFmtId="0" fontId="30" fillId="0" borderId="0" xfId="0" applyFont="1" applyAlignment="1">
      <alignment horizontal="left" vertical="center" readingOrder="1"/>
    </xf>
    <xf numFmtId="0" fontId="31" fillId="0" borderId="0" xfId="0" applyFont="1" applyAlignment="1">
      <alignment horizontal="left" vertical="center" readingOrder="1"/>
    </xf>
    <xf numFmtId="0" fontId="34" fillId="0" borderId="0" xfId="0" applyFont="1"/>
    <xf numFmtId="0" fontId="35" fillId="0" borderId="0" xfId="0" applyFont="1" applyAlignment="1">
      <alignment horizontal="left" vertical="center" readingOrder="1"/>
    </xf>
    <xf numFmtId="0" fontId="29" fillId="20" borderId="91" xfId="0" applyFont="1" applyFill="1" applyBorder="1" applyAlignment="1">
      <alignment horizontal="center"/>
    </xf>
    <xf numFmtId="2" fontId="28" fillId="0" borderId="91" xfId="0" applyNumberFormat="1" applyFont="1" applyBorder="1" applyAlignment="1">
      <alignment horizontal="center"/>
    </xf>
    <xf numFmtId="44" fontId="34" fillId="0" borderId="0" xfId="0" applyNumberFormat="1" applyFont="1"/>
    <xf numFmtId="0" fontId="33" fillId="0" borderId="0" xfId="0" applyFont="1" applyAlignment="1">
      <alignment horizontal="center"/>
    </xf>
    <xf numFmtId="0" fontId="34" fillId="0" borderId="0" xfId="0" applyFont="1" applyAlignment="1">
      <alignment horizontal="center"/>
    </xf>
    <xf numFmtId="44" fontId="34" fillId="25" borderId="0" xfId="0" applyNumberFormat="1" applyFont="1" applyFill="1"/>
    <xf numFmtId="0" fontId="35" fillId="4" borderId="0" xfId="0" applyFont="1" applyFill="1" applyAlignment="1">
      <alignment horizontal="left" vertical="center" readingOrder="1"/>
    </xf>
    <xf numFmtId="0" fontId="34" fillId="4" borderId="0" xfId="0" applyFont="1" applyFill="1"/>
    <xf numFmtId="44" fontId="34" fillId="4" borderId="0" xfId="0" applyNumberFormat="1" applyFont="1" applyFill="1"/>
    <xf numFmtId="0" fontId="36" fillId="0" borderId="0" xfId="0" applyFont="1" applyAlignment="1">
      <alignment horizontal="left" vertical="center" readingOrder="1"/>
    </xf>
    <xf numFmtId="0" fontId="0" fillId="28" borderId="0" xfId="0" applyFill="1"/>
    <xf numFmtId="0" fontId="37" fillId="2" borderId="0" xfId="0" applyFont="1" applyFill="1"/>
    <xf numFmtId="0" fontId="18" fillId="2" borderId="0" xfId="0" applyFont="1" applyFill="1"/>
    <xf numFmtId="0" fontId="0" fillId="25" borderId="96" xfId="0" applyFill="1" applyBorder="1"/>
    <xf numFmtId="0" fontId="0" fillId="22" borderId="97" xfId="0" applyFill="1" applyBorder="1" applyAlignment="1">
      <alignment horizontal="center"/>
    </xf>
    <xf numFmtId="164" fontId="0" fillId="25" borderId="97" xfId="0" applyNumberFormat="1" applyFill="1" applyBorder="1" applyAlignment="1">
      <alignment horizontal="center"/>
    </xf>
    <xf numFmtId="0" fontId="0" fillId="22" borderId="98" xfId="0" applyFill="1" applyBorder="1" applyAlignment="1">
      <alignment horizontal="center"/>
    </xf>
    <xf numFmtId="0" fontId="0" fillId="22" borderId="43" xfId="0" applyFill="1" applyBorder="1" applyAlignment="1">
      <alignment horizontal="center" wrapText="1"/>
    </xf>
    <xf numFmtId="0" fontId="39" fillId="24" borderId="0" xfId="0" applyFont="1" applyFill="1" applyAlignment="1">
      <alignment horizontal="center"/>
    </xf>
    <xf numFmtId="2" fontId="28" fillId="0" borderId="89" xfId="0" applyNumberFormat="1" applyFont="1" applyBorder="1" applyAlignment="1">
      <alignment horizontal="center"/>
    </xf>
    <xf numFmtId="0" fontId="35" fillId="0" borderId="99" xfId="0" applyFont="1" applyBorder="1" applyAlignment="1">
      <alignment horizontal="left" vertical="center" readingOrder="1"/>
    </xf>
    <xf numFmtId="0" fontId="34" fillId="0" borderId="99" xfId="0" applyFont="1" applyBorder="1"/>
    <xf numFmtId="44" fontId="34" fillId="0" borderId="99" xfId="0" applyNumberFormat="1" applyFont="1" applyBorder="1"/>
    <xf numFmtId="44" fontId="38" fillId="20" borderId="90" xfId="0" applyNumberFormat="1" applyFont="1" applyFill="1" applyBorder="1"/>
    <xf numFmtId="2" fontId="28" fillId="0" borderId="93" xfId="0" applyNumberFormat="1" applyFont="1" applyBorder="1" applyAlignment="1">
      <alignment horizontal="center"/>
    </xf>
    <xf numFmtId="0" fontId="35" fillId="0" borderId="68" xfId="0" applyFont="1" applyBorder="1" applyAlignment="1">
      <alignment horizontal="left" vertical="center" readingOrder="1"/>
    </xf>
    <xf numFmtId="0" fontId="34" fillId="0" borderId="68" xfId="0" applyFont="1" applyBorder="1"/>
    <xf numFmtId="44" fontId="34" fillId="0" borderId="68" xfId="0" applyNumberFormat="1" applyFont="1" applyBorder="1"/>
    <xf numFmtId="44" fontId="38" fillId="20" borderId="94" xfId="0" applyNumberFormat="1" applyFont="1" applyFill="1" applyBorder="1"/>
    <xf numFmtId="44" fontId="38" fillId="20" borderId="92" xfId="0" applyNumberFormat="1" applyFont="1" applyFill="1" applyBorder="1"/>
    <xf numFmtId="0" fontId="40" fillId="22" borderId="45" xfId="7" applyFill="1" applyBorder="1" applyAlignment="1">
      <alignment horizontal="center"/>
    </xf>
    <xf numFmtId="0" fontId="41" fillId="0" borderId="0" xfId="0" applyFont="1" applyAlignment="1">
      <alignment horizontal="left" vertical="center" readingOrder="1"/>
    </xf>
    <xf numFmtId="0" fontId="17" fillId="5" borderId="0" xfId="0" applyFont="1" applyFill="1"/>
    <xf numFmtId="0" fontId="43" fillId="0" borderId="89" xfId="0" applyFont="1" applyBorder="1" applyAlignment="1">
      <alignment horizontal="left" vertical="center" readingOrder="1"/>
    </xf>
    <xf numFmtId="0" fontId="28" fillId="0" borderId="99" xfId="0" applyFont="1" applyBorder="1"/>
    <xf numFmtId="44" fontId="28" fillId="0" borderId="90" xfId="0" applyNumberFormat="1" applyFont="1" applyBorder="1"/>
    <xf numFmtId="0" fontId="43" fillId="0" borderId="91" xfId="0" applyFont="1" applyBorder="1" applyAlignment="1">
      <alignment horizontal="left" vertical="center" readingOrder="1"/>
    </xf>
    <xf numFmtId="0" fontId="28" fillId="0" borderId="0" xfId="0" applyFont="1"/>
    <xf numFmtId="44" fontId="28" fillId="0" borderId="92" xfId="0" applyNumberFormat="1" applyFont="1" applyBorder="1"/>
    <xf numFmtId="0" fontId="43" fillId="0" borderId="93" xfId="0" applyFont="1" applyBorder="1" applyAlignment="1">
      <alignment horizontal="left" vertical="center" readingOrder="1"/>
    </xf>
    <xf numFmtId="0" fontId="28" fillId="0" borderId="68" xfId="0" applyFont="1" applyBorder="1"/>
    <xf numFmtId="44" fontId="28" fillId="4" borderId="94" xfId="0" applyNumberFormat="1" applyFont="1" applyFill="1" applyBorder="1"/>
    <xf numFmtId="0" fontId="28" fillId="0" borderId="0" xfId="0" applyFont="1" applyAlignment="1">
      <alignment horizontal="center"/>
    </xf>
    <xf numFmtId="44" fontId="28" fillId="0" borderId="0" xfId="0" applyNumberFormat="1" applyFont="1" applyAlignment="1">
      <alignment horizontal="center"/>
    </xf>
    <xf numFmtId="44" fontId="0" fillId="0" borderId="0" xfId="0" applyNumberFormat="1"/>
    <xf numFmtId="2" fontId="28" fillId="0" borderId="0" xfId="0" applyNumberFormat="1" applyFont="1" applyAlignment="1">
      <alignment horizontal="center"/>
    </xf>
    <xf numFmtId="44" fontId="2" fillId="0" borderId="0" xfId="0" applyNumberFormat="1" applyFont="1"/>
    <xf numFmtId="0" fontId="1" fillId="16" borderId="68" xfId="0" applyFont="1" applyFill="1" applyBorder="1" applyAlignment="1">
      <alignment horizontal="center"/>
    </xf>
    <xf numFmtId="0" fontId="1" fillId="16" borderId="0" xfId="0" applyFont="1" applyFill="1" applyAlignment="1">
      <alignment horizontal="center"/>
    </xf>
    <xf numFmtId="0" fontId="29" fillId="27" borderId="0" xfId="0" applyFont="1" applyFill="1" applyAlignment="1">
      <alignment horizontal="center"/>
    </xf>
    <xf numFmtId="0" fontId="20" fillId="24" borderId="1" xfId="0" applyFont="1" applyFill="1" applyBorder="1" applyAlignment="1">
      <alignment horizontal="center"/>
    </xf>
    <xf numFmtId="0" fontId="20" fillId="24" borderId="2" xfId="0" applyFont="1" applyFill="1" applyBorder="1" applyAlignment="1">
      <alignment horizontal="center"/>
    </xf>
    <xf numFmtId="0" fontId="2" fillId="0" borderId="0" xfId="0" applyFont="1" applyAlignment="1">
      <alignment horizontal="center"/>
    </xf>
    <xf numFmtId="0" fontId="19" fillId="7" borderId="0" xfId="0" applyFont="1" applyFill="1" applyAlignment="1">
      <alignment horizontal="center"/>
    </xf>
    <xf numFmtId="0" fontId="19" fillId="7" borderId="39" xfId="0" applyFont="1" applyFill="1" applyBorder="1" applyAlignment="1">
      <alignment horizontal="center"/>
    </xf>
    <xf numFmtId="0" fontId="16" fillId="24" borderId="0" xfId="0" applyFont="1" applyFill="1" applyAlignment="1">
      <alignment horizontal="center"/>
    </xf>
    <xf numFmtId="0" fontId="29" fillId="20" borderId="91" xfId="0" applyFont="1" applyFill="1" applyBorder="1" applyAlignment="1">
      <alignment horizontal="center"/>
    </xf>
    <xf numFmtId="0" fontId="29" fillId="20" borderId="0" xfId="0" applyFont="1" applyFill="1" applyAlignment="1">
      <alignment horizontal="center"/>
    </xf>
    <xf numFmtId="0" fontId="2" fillId="0" borderId="4" xfId="0" applyFont="1" applyBorder="1" applyAlignment="1">
      <alignment horizontal="center"/>
    </xf>
    <xf numFmtId="0" fontId="2" fillId="0" borderId="49" xfId="0" applyFont="1" applyBorder="1" applyAlignment="1">
      <alignment horizontal="center"/>
    </xf>
    <xf numFmtId="0" fontId="2" fillId="0" borderId="5" xfId="0" applyFont="1" applyBorder="1" applyAlignment="1">
      <alignment horizontal="center"/>
    </xf>
    <xf numFmtId="0" fontId="19" fillId="20" borderId="81" xfId="0" applyFont="1" applyFill="1" applyBorder="1" applyAlignment="1">
      <alignment horizontal="center"/>
    </xf>
    <xf numFmtId="0" fontId="19" fillId="20" borderId="82" xfId="0" applyFont="1" applyFill="1" applyBorder="1" applyAlignment="1">
      <alignment horizontal="center"/>
    </xf>
    <xf numFmtId="0" fontId="19" fillId="20" borderId="83" xfId="0" applyFont="1" applyFill="1" applyBorder="1" applyAlignment="1">
      <alignment horizontal="center"/>
    </xf>
    <xf numFmtId="9" fontId="10" fillId="20" borderId="57" xfId="1" applyFont="1" applyFill="1" applyBorder="1" applyAlignment="1">
      <alignment horizontal="center"/>
    </xf>
    <xf numFmtId="0" fontId="0" fillId="2" borderId="58" xfId="0" applyFill="1" applyBorder="1" applyAlignment="1">
      <alignment horizontal="center"/>
    </xf>
    <xf numFmtId="0" fontId="0" fillId="2" borderId="59" xfId="0" applyFill="1" applyBorder="1" applyAlignment="1">
      <alignment horizontal="center"/>
    </xf>
    <xf numFmtId="0" fontId="0" fillId="2" borderId="60" xfId="0" applyFill="1" applyBorder="1" applyAlignment="1">
      <alignment horizontal="center"/>
    </xf>
    <xf numFmtId="0" fontId="19" fillId="20" borderId="75" xfId="0" applyFont="1" applyFill="1" applyBorder="1" applyAlignment="1">
      <alignment horizontal="center"/>
    </xf>
    <xf numFmtId="0" fontId="19" fillId="20" borderId="76" xfId="0" applyFont="1" applyFill="1" applyBorder="1" applyAlignment="1">
      <alignment horizontal="center"/>
    </xf>
    <xf numFmtId="0" fontId="19" fillId="20" borderId="78" xfId="0" applyFont="1" applyFill="1" applyBorder="1" applyAlignment="1">
      <alignment horizontal="center"/>
    </xf>
    <xf numFmtId="0" fontId="23" fillId="5" borderId="75" xfId="0" applyFont="1" applyFill="1" applyBorder="1" applyAlignment="1">
      <alignment horizontal="center"/>
    </xf>
    <xf numFmtId="0" fontId="23" fillId="5" borderId="77" xfId="0" applyFont="1" applyFill="1" applyBorder="1" applyAlignment="1">
      <alignment horizontal="center"/>
    </xf>
    <xf numFmtId="0" fontId="19" fillId="20" borderId="41" xfId="0" applyFont="1" applyFill="1" applyBorder="1" applyAlignment="1">
      <alignment horizontal="center"/>
    </xf>
    <xf numFmtId="0" fontId="19" fillId="20" borderId="70" xfId="0" applyFont="1" applyFill="1" applyBorder="1" applyAlignment="1">
      <alignment horizontal="center"/>
    </xf>
    <xf numFmtId="0" fontId="19" fillId="20" borderId="71" xfId="0" applyFont="1" applyFill="1" applyBorder="1" applyAlignment="1">
      <alignment horizontal="center"/>
    </xf>
    <xf numFmtId="9" fontId="10" fillId="20" borderId="63" xfId="1" applyFont="1" applyFill="1" applyBorder="1" applyAlignment="1">
      <alignment horizontal="center"/>
    </xf>
    <xf numFmtId="0" fontId="20" fillId="24" borderId="3" xfId="0" applyFont="1" applyFill="1" applyBorder="1" applyAlignment="1">
      <alignment horizontal="center"/>
    </xf>
    <xf numFmtId="0" fontId="10" fillId="0" borderId="0" xfId="0" applyFont="1" applyAlignment="1">
      <alignment horizontal="left" wrapText="1"/>
    </xf>
    <xf numFmtId="0" fontId="1" fillId="24" borderId="0" xfId="0" applyFont="1" applyFill="1" applyAlignment="1">
      <alignment horizontal="center"/>
    </xf>
    <xf numFmtId="0" fontId="0" fillId="2" borderId="15" xfId="0" applyFill="1" applyBorder="1" applyAlignment="1">
      <alignment horizontal="right"/>
    </xf>
    <xf numFmtId="0" fontId="0" fillId="2" borderId="0" xfId="0" applyFill="1" applyAlignment="1">
      <alignment horizontal="right"/>
    </xf>
  </cellXfs>
  <cellStyles count="8">
    <cellStyle name="20% - Ênfase6" xfId="4" builtinId="50"/>
    <cellStyle name="40% - Ênfase6" xfId="5" builtinId="51"/>
    <cellStyle name="60% - Ênfase6" xfId="6" builtinId="52"/>
    <cellStyle name="Ênfase6" xfId="3" builtinId="49"/>
    <cellStyle name="Hiperlink" xfId="7" builtinId="8"/>
    <cellStyle name="Normal" xfId="0" builtinId="0"/>
    <cellStyle name="Porcentagem" xfId="1" builtinId="5"/>
    <cellStyle name="Vírgula" xfId="2" builtinId="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1381125</xdr:colOff>
      <xdr:row>0</xdr:row>
      <xdr:rowOff>161925</xdr:rowOff>
    </xdr:from>
    <xdr:to>
      <xdr:col>6</xdr:col>
      <xdr:colOff>493967</xdr:colOff>
      <xdr:row>0</xdr:row>
      <xdr:rowOff>861059</xdr:rowOff>
    </xdr:to>
    <xdr:pic>
      <xdr:nvPicPr>
        <xdr:cNvPr id="3" name="Imagem 2">
          <a:extLst>
            <a:ext uri="{FF2B5EF4-FFF2-40B4-BE49-F238E27FC236}">
              <a16:creationId xmlns:a16="http://schemas.microsoft.com/office/drawing/2014/main" id="{BA7EF134-C7D1-4C18-68DC-AB099D2A5E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161925"/>
          <a:ext cx="2529935" cy="6953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249890</xdr:colOff>
      <xdr:row>1</xdr:row>
      <xdr:rowOff>148187</xdr:rowOff>
    </xdr:from>
    <xdr:to>
      <xdr:col>5</xdr:col>
      <xdr:colOff>1828800</xdr:colOff>
      <xdr:row>4</xdr:row>
      <xdr:rowOff>85725</xdr:rowOff>
    </xdr:to>
    <xdr:sp macro="" textlink="">
      <xdr:nvSpPr>
        <xdr:cNvPr id="2" name="Texto Explicativo: Linha Dobrada com Borda e Ênfase 1">
          <a:extLst>
            <a:ext uri="{FF2B5EF4-FFF2-40B4-BE49-F238E27FC236}">
              <a16:creationId xmlns:a16="http://schemas.microsoft.com/office/drawing/2014/main" id="{08D7FE7F-78A6-4110-A2EC-4D5E75585551}"/>
            </a:ext>
          </a:extLst>
        </xdr:cNvPr>
        <xdr:cNvSpPr/>
      </xdr:nvSpPr>
      <xdr:spPr>
        <a:xfrm>
          <a:off x="4602815" y="348212"/>
          <a:ext cx="2188510" cy="509038"/>
        </a:xfrm>
        <a:prstGeom prst="accentBorderCallout2">
          <a:avLst>
            <a:gd name="adj1" fmla="val 18750"/>
            <a:gd name="adj2" fmla="val -8333"/>
            <a:gd name="adj3" fmla="val 18750"/>
            <a:gd name="adj4" fmla="val -16667"/>
            <a:gd name="adj5" fmla="val 54631"/>
            <a:gd name="adj6" fmla="val -41615"/>
          </a:avLst>
        </a:prstGeom>
        <a:ln w="12700">
          <a:solidFill>
            <a:schemeClr val="tx1"/>
          </a:solidFill>
          <a:prstDash val="dashDot"/>
        </a:ln>
      </xdr:spPr>
      <xdr:style>
        <a:lnRef idx="2">
          <a:schemeClr val="accent1"/>
        </a:lnRef>
        <a:fillRef idx="1">
          <a:schemeClr val="lt1"/>
        </a:fillRef>
        <a:effectRef idx="0">
          <a:schemeClr val="accent1"/>
        </a:effectRef>
        <a:fontRef idx="minor">
          <a:schemeClr val="dk1"/>
        </a:fontRef>
      </xdr:style>
      <xdr:txBody>
        <a:bodyPr rtlCol="0" anchor="ctr"/>
        <a:lstStyle/>
        <a:p>
          <a:pPr algn="l"/>
          <a:r>
            <a:rPr lang="pt-BR" sz="1100"/>
            <a:t>Insira</a:t>
          </a:r>
          <a:r>
            <a:rPr lang="pt-BR" sz="1100" baseline="0"/>
            <a:t> aqui o valor da hora Negóciada.</a:t>
          </a:r>
          <a:endParaRPr lang="pt-BR" sz="1100"/>
        </a:p>
      </xdr:txBody>
    </xdr:sp>
    <xdr:clientData/>
  </xdr:twoCellAnchor>
  <xdr:twoCellAnchor>
    <xdr:from>
      <xdr:col>1</xdr:col>
      <xdr:colOff>402290</xdr:colOff>
      <xdr:row>14</xdr:row>
      <xdr:rowOff>176762</xdr:rowOff>
    </xdr:from>
    <xdr:to>
      <xdr:col>4</xdr:col>
      <xdr:colOff>257175</xdr:colOff>
      <xdr:row>16</xdr:row>
      <xdr:rowOff>180975</xdr:rowOff>
    </xdr:to>
    <xdr:sp macro="" textlink="">
      <xdr:nvSpPr>
        <xdr:cNvPr id="3" name="Texto Explicativo: Linha Dobrada com Borda e Ênfase 2">
          <a:extLst>
            <a:ext uri="{FF2B5EF4-FFF2-40B4-BE49-F238E27FC236}">
              <a16:creationId xmlns:a16="http://schemas.microsoft.com/office/drawing/2014/main" id="{008B73E8-9559-4C04-AA16-E1701C505C51}"/>
            </a:ext>
          </a:extLst>
        </xdr:cNvPr>
        <xdr:cNvSpPr/>
      </xdr:nvSpPr>
      <xdr:spPr>
        <a:xfrm>
          <a:off x="2469215" y="47982737"/>
          <a:ext cx="2664760" cy="404263"/>
        </a:xfrm>
        <a:prstGeom prst="accentBorderCallout2">
          <a:avLst>
            <a:gd name="adj1" fmla="val 18750"/>
            <a:gd name="adj2" fmla="val -8333"/>
            <a:gd name="adj3" fmla="val 18750"/>
            <a:gd name="adj4" fmla="val -16667"/>
            <a:gd name="adj5" fmla="val -70245"/>
            <a:gd name="adj6" fmla="val -3267"/>
          </a:avLst>
        </a:prstGeom>
        <a:ln w="12700">
          <a:solidFill>
            <a:schemeClr val="tx1"/>
          </a:solidFill>
          <a:prstDash val="dashDot"/>
        </a:ln>
      </xdr:spPr>
      <xdr:style>
        <a:lnRef idx="2">
          <a:schemeClr val="accent1"/>
        </a:lnRef>
        <a:fillRef idx="1">
          <a:schemeClr val="lt1"/>
        </a:fillRef>
        <a:effectRef idx="0">
          <a:schemeClr val="accent1"/>
        </a:effectRef>
        <a:fontRef idx="minor">
          <a:schemeClr val="dk1"/>
        </a:fontRef>
      </xdr:style>
      <xdr:txBody>
        <a:bodyPr rtlCol="0" anchor="ctr"/>
        <a:lstStyle/>
        <a:p>
          <a:pPr algn="l"/>
          <a:r>
            <a:rPr lang="pt-BR" sz="1100"/>
            <a:t>Aqui deve inserir</a:t>
          </a:r>
          <a:r>
            <a:rPr lang="pt-BR" sz="1100" baseline="0"/>
            <a:t> a FAIXA DE COMISSÃO correspondente MANUALMENTE</a:t>
          </a:r>
          <a:endParaRPr lang="pt-BR" sz="1100"/>
        </a:p>
      </xdr:txBody>
    </xdr:sp>
    <xdr:clientData/>
  </xdr:twoCellAnchor>
  <xdr:twoCellAnchor>
    <xdr:from>
      <xdr:col>4</xdr:col>
      <xdr:colOff>676275</xdr:colOff>
      <xdr:row>7</xdr:row>
      <xdr:rowOff>161925</xdr:rowOff>
    </xdr:from>
    <xdr:to>
      <xdr:col>4</xdr:col>
      <xdr:colOff>1590675</xdr:colOff>
      <xdr:row>11</xdr:row>
      <xdr:rowOff>38100</xdr:rowOff>
    </xdr:to>
    <xdr:sp macro="" textlink="">
      <xdr:nvSpPr>
        <xdr:cNvPr id="4" name="Seta: para a Direita Listrada 3">
          <a:extLst>
            <a:ext uri="{FF2B5EF4-FFF2-40B4-BE49-F238E27FC236}">
              <a16:creationId xmlns:a16="http://schemas.microsoft.com/office/drawing/2014/main" id="{9C4E31B5-E9D4-43BF-846B-FDCF761096C2}"/>
            </a:ext>
          </a:extLst>
        </xdr:cNvPr>
        <xdr:cNvSpPr/>
      </xdr:nvSpPr>
      <xdr:spPr>
        <a:xfrm rot="10800000">
          <a:off x="5553075" y="46567725"/>
          <a:ext cx="914400" cy="676275"/>
        </a:xfrm>
        <a:prstGeom prst="stripedRightArrow">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pt-BR" sz="1100"/>
        </a:p>
      </xdr:txBody>
    </xdr:sp>
    <xdr:clientData/>
  </xdr:twoCellAnchor>
  <xdr:twoCellAnchor>
    <xdr:from>
      <xdr:col>16</xdr:col>
      <xdr:colOff>249889</xdr:colOff>
      <xdr:row>1</xdr:row>
      <xdr:rowOff>148187</xdr:rowOff>
    </xdr:from>
    <xdr:to>
      <xdr:col>19</xdr:col>
      <xdr:colOff>904874</xdr:colOff>
      <xdr:row>4</xdr:row>
      <xdr:rowOff>104775</xdr:rowOff>
    </xdr:to>
    <xdr:sp macro="" textlink="">
      <xdr:nvSpPr>
        <xdr:cNvPr id="5" name="Texto Explicativo: Linha Dobrada com Borda e Ênfase 4">
          <a:extLst>
            <a:ext uri="{FF2B5EF4-FFF2-40B4-BE49-F238E27FC236}">
              <a16:creationId xmlns:a16="http://schemas.microsoft.com/office/drawing/2014/main" id="{319C63D7-7AC9-4E70-9E92-23B44FDB42EB}"/>
            </a:ext>
          </a:extLst>
        </xdr:cNvPr>
        <xdr:cNvSpPr/>
      </xdr:nvSpPr>
      <xdr:spPr>
        <a:xfrm>
          <a:off x="15470839" y="348212"/>
          <a:ext cx="2483785" cy="528088"/>
        </a:xfrm>
        <a:prstGeom prst="accentBorderCallout2">
          <a:avLst>
            <a:gd name="adj1" fmla="val 18750"/>
            <a:gd name="adj2" fmla="val -8333"/>
            <a:gd name="adj3" fmla="val 18750"/>
            <a:gd name="adj4" fmla="val -16667"/>
            <a:gd name="adj5" fmla="val 54631"/>
            <a:gd name="adj6" fmla="val -41615"/>
          </a:avLst>
        </a:prstGeom>
        <a:ln w="12700">
          <a:solidFill>
            <a:schemeClr val="tx1"/>
          </a:solidFill>
          <a:prstDash val="dashDot"/>
        </a:ln>
      </xdr:spPr>
      <xdr:style>
        <a:lnRef idx="2">
          <a:schemeClr val="accent1"/>
        </a:lnRef>
        <a:fillRef idx="1">
          <a:schemeClr val="lt1"/>
        </a:fillRef>
        <a:effectRef idx="0">
          <a:schemeClr val="accent1"/>
        </a:effectRef>
        <a:fontRef idx="minor">
          <a:schemeClr val="dk1"/>
        </a:fontRef>
      </xdr:style>
      <xdr:txBody>
        <a:bodyPr rtlCol="0" anchor="ctr"/>
        <a:lstStyle/>
        <a:p>
          <a:pPr algn="l"/>
          <a:r>
            <a:rPr lang="pt-BR" sz="1100"/>
            <a:t>Insira</a:t>
          </a:r>
          <a:r>
            <a:rPr lang="pt-BR" sz="1100" baseline="0"/>
            <a:t> aqui o valor da hora Negóciada.</a:t>
          </a:r>
          <a:endParaRPr lang="pt-BR" sz="1100"/>
        </a:p>
      </xdr:txBody>
    </xdr:sp>
    <xdr:clientData/>
  </xdr:twoCellAnchor>
  <xdr:twoCellAnchor>
    <xdr:from>
      <xdr:col>13</xdr:col>
      <xdr:colOff>402290</xdr:colOff>
      <xdr:row>14</xdr:row>
      <xdr:rowOff>176762</xdr:rowOff>
    </xdr:from>
    <xdr:to>
      <xdr:col>16</xdr:col>
      <xdr:colOff>257175</xdr:colOff>
      <xdr:row>16</xdr:row>
      <xdr:rowOff>180975</xdr:rowOff>
    </xdr:to>
    <xdr:sp macro="" textlink="">
      <xdr:nvSpPr>
        <xdr:cNvPr id="6" name="Texto Explicativo: Linha Dobrada com Borda e Ênfase 5">
          <a:extLst>
            <a:ext uri="{FF2B5EF4-FFF2-40B4-BE49-F238E27FC236}">
              <a16:creationId xmlns:a16="http://schemas.microsoft.com/office/drawing/2014/main" id="{D390A880-5571-4EEC-AEFA-0273EBB1CE5D}"/>
            </a:ext>
          </a:extLst>
        </xdr:cNvPr>
        <xdr:cNvSpPr/>
      </xdr:nvSpPr>
      <xdr:spPr>
        <a:xfrm>
          <a:off x="1335740" y="3024737"/>
          <a:ext cx="3274360" cy="394738"/>
        </a:xfrm>
        <a:prstGeom prst="accentBorderCallout2">
          <a:avLst>
            <a:gd name="adj1" fmla="val 18750"/>
            <a:gd name="adj2" fmla="val -8333"/>
            <a:gd name="adj3" fmla="val 18750"/>
            <a:gd name="adj4" fmla="val -16667"/>
            <a:gd name="adj5" fmla="val -70245"/>
            <a:gd name="adj6" fmla="val -3267"/>
          </a:avLst>
        </a:prstGeom>
        <a:ln w="12700">
          <a:solidFill>
            <a:schemeClr val="tx1"/>
          </a:solidFill>
          <a:prstDash val="dashDot"/>
        </a:ln>
      </xdr:spPr>
      <xdr:style>
        <a:lnRef idx="2">
          <a:schemeClr val="accent1"/>
        </a:lnRef>
        <a:fillRef idx="1">
          <a:schemeClr val="lt1"/>
        </a:fillRef>
        <a:effectRef idx="0">
          <a:schemeClr val="accent1"/>
        </a:effectRef>
        <a:fontRef idx="minor">
          <a:schemeClr val="dk1"/>
        </a:fontRef>
      </xdr:style>
      <xdr:txBody>
        <a:bodyPr rtlCol="0" anchor="ctr"/>
        <a:lstStyle/>
        <a:p>
          <a:pPr algn="l"/>
          <a:r>
            <a:rPr lang="pt-BR" sz="1100"/>
            <a:t>Aqui deve inserir</a:t>
          </a:r>
          <a:r>
            <a:rPr lang="pt-BR" sz="1100" baseline="0"/>
            <a:t> a FAIXA DE COMISSÃO correspondente MANUALMENTE</a:t>
          </a:r>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1</xdr:row>
      <xdr:rowOff>180975</xdr:rowOff>
    </xdr:from>
    <xdr:to>
      <xdr:col>6</xdr:col>
      <xdr:colOff>28575</xdr:colOff>
      <xdr:row>4</xdr:row>
      <xdr:rowOff>142875</xdr:rowOff>
    </xdr:to>
    <xdr:sp macro="" textlink="">
      <xdr:nvSpPr>
        <xdr:cNvPr id="2" name="CaixaDeTexto 1">
          <a:extLst>
            <a:ext uri="{FF2B5EF4-FFF2-40B4-BE49-F238E27FC236}">
              <a16:creationId xmlns:a16="http://schemas.microsoft.com/office/drawing/2014/main" id="{0AD9A518-BA35-40BF-AF61-820AF380FA01}"/>
            </a:ext>
          </a:extLst>
        </xdr:cNvPr>
        <xdr:cNvSpPr txBox="1"/>
      </xdr:nvSpPr>
      <xdr:spPr>
        <a:xfrm>
          <a:off x="28575" y="15878175"/>
          <a:ext cx="13173075" cy="53340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a:solidFill>
                <a:schemeClr val="bg1"/>
              </a:solidFill>
              <a:effectLst/>
              <a:latin typeface="+mn-lt"/>
              <a:ea typeface="+mn-ea"/>
              <a:cs typeface="+mn-cs"/>
            </a:rPr>
            <a:t>GUARANI ERP: “</a:t>
          </a:r>
          <a:r>
            <a:rPr lang="pt-BR" sz="1100">
              <a:solidFill>
                <a:schemeClr val="bg1"/>
              </a:solidFill>
              <a:effectLst/>
              <a:latin typeface="+mn-lt"/>
              <a:ea typeface="+mn-ea"/>
              <a:cs typeface="+mn-cs"/>
            </a:rPr>
            <a:t>Enterprise Resource Planning” (Planejamento dos Recursos Empresariais). É uma plataforma para gestão empresarial que serve para automatizar processos manuais, armazenar dados e unificar a visualização de resultados.</a:t>
          </a:r>
        </a:p>
        <a:p>
          <a:endParaRPr lang="pt-BR" sz="1100">
            <a:solidFill>
              <a:schemeClr val="bg1"/>
            </a:solidFill>
          </a:endParaRPr>
        </a:p>
      </xdr:txBody>
    </xdr:sp>
    <xdr:clientData/>
  </xdr:twoCellAnchor>
  <xdr:twoCellAnchor>
    <xdr:from>
      <xdr:col>6</xdr:col>
      <xdr:colOff>200025</xdr:colOff>
      <xdr:row>26</xdr:row>
      <xdr:rowOff>104775</xdr:rowOff>
    </xdr:from>
    <xdr:to>
      <xdr:col>14</xdr:col>
      <xdr:colOff>781050</xdr:colOff>
      <xdr:row>29</xdr:row>
      <xdr:rowOff>180975</xdr:rowOff>
    </xdr:to>
    <xdr:sp macro="" textlink="">
      <xdr:nvSpPr>
        <xdr:cNvPr id="3" name="CaixaDeTexto 2">
          <a:extLst>
            <a:ext uri="{FF2B5EF4-FFF2-40B4-BE49-F238E27FC236}">
              <a16:creationId xmlns:a16="http://schemas.microsoft.com/office/drawing/2014/main" id="{174DE3D1-3957-4933-8947-C62954B0D02A}"/>
            </a:ext>
          </a:extLst>
        </xdr:cNvPr>
        <xdr:cNvSpPr txBox="1"/>
      </xdr:nvSpPr>
      <xdr:spPr>
        <a:xfrm>
          <a:off x="13373100" y="20564475"/>
          <a:ext cx="9610725" cy="64770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PCP</a:t>
          </a:r>
          <a:r>
            <a:rPr lang="pt-BR" sz="1100">
              <a:solidFill>
                <a:schemeClr val="bg1"/>
              </a:solidFill>
              <a:effectLst/>
              <a:latin typeface="+mn-lt"/>
              <a:ea typeface="+mn-ea"/>
              <a:cs typeface="+mn-cs"/>
            </a:rPr>
            <a:t>: (Planejamento e Controle de Produção) é um processo para auxiliar o gerenciamento da produção de uma indústria. É um módulo adicional do produto GUARANI ERP em que a empresa planeja quando produzir, quanto produzir, onde produzir, em que ordem produzir e verificar se tudo está funcionando de acordo com o plano.</a:t>
          </a:r>
        </a:p>
        <a:p>
          <a:endParaRPr lang="pt-BR" sz="1100">
            <a:solidFill>
              <a:schemeClr val="bg1"/>
            </a:solidFill>
          </a:endParaRPr>
        </a:p>
      </xdr:txBody>
    </xdr:sp>
    <xdr:clientData/>
  </xdr:twoCellAnchor>
  <xdr:twoCellAnchor>
    <xdr:from>
      <xdr:col>6</xdr:col>
      <xdr:colOff>209550</xdr:colOff>
      <xdr:row>30</xdr:row>
      <xdr:rowOff>76200</xdr:rowOff>
    </xdr:from>
    <xdr:to>
      <xdr:col>14</xdr:col>
      <xdr:colOff>790575</xdr:colOff>
      <xdr:row>33</xdr:row>
      <xdr:rowOff>152400</xdr:rowOff>
    </xdr:to>
    <xdr:sp macro="" textlink="">
      <xdr:nvSpPr>
        <xdr:cNvPr id="4" name="CaixaDeTexto 3">
          <a:extLst>
            <a:ext uri="{FF2B5EF4-FFF2-40B4-BE49-F238E27FC236}">
              <a16:creationId xmlns:a16="http://schemas.microsoft.com/office/drawing/2014/main" id="{D8BDFE21-2DFD-4D1D-963A-4D2552DE2290}"/>
            </a:ext>
          </a:extLst>
        </xdr:cNvPr>
        <xdr:cNvSpPr txBox="1"/>
      </xdr:nvSpPr>
      <xdr:spPr>
        <a:xfrm>
          <a:off x="13382625" y="21297900"/>
          <a:ext cx="9610725" cy="64770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WMS:</a:t>
          </a:r>
          <a:r>
            <a:rPr lang="pt-BR" sz="1100">
              <a:solidFill>
                <a:schemeClr val="bg1"/>
              </a:solidFill>
              <a:effectLst/>
              <a:latin typeface="+mn-lt"/>
              <a:ea typeface="+mn-ea"/>
              <a:cs typeface="+mn-cs"/>
            </a:rPr>
            <a:t> “Warehouse Management System” (Sistema de Gerenciamento de Armazém). É um módulo adicional do produto GUARANI ERP de gerenciamento que auxilia e simplifica as tarefas quanto a movimentação de mercadorias, que também otimiza o fluxo de trabalho e organiza a equipe, proporcionando taxas mais altas de produtividade e eficiência.</a:t>
          </a:r>
        </a:p>
        <a:p>
          <a:endParaRPr lang="pt-BR" sz="1100">
            <a:solidFill>
              <a:schemeClr val="bg1"/>
            </a:solidFill>
          </a:endParaRPr>
        </a:p>
      </xdr:txBody>
    </xdr:sp>
    <xdr:clientData/>
  </xdr:twoCellAnchor>
  <xdr:twoCellAnchor>
    <xdr:from>
      <xdr:col>6</xdr:col>
      <xdr:colOff>190500</xdr:colOff>
      <xdr:row>22</xdr:row>
      <xdr:rowOff>133350</xdr:rowOff>
    </xdr:from>
    <xdr:to>
      <xdr:col>14</xdr:col>
      <xdr:colOff>771525</xdr:colOff>
      <xdr:row>26</xdr:row>
      <xdr:rowOff>19050</xdr:rowOff>
    </xdr:to>
    <xdr:sp macro="" textlink="">
      <xdr:nvSpPr>
        <xdr:cNvPr id="5" name="CaixaDeTexto 4">
          <a:extLst>
            <a:ext uri="{FF2B5EF4-FFF2-40B4-BE49-F238E27FC236}">
              <a16:creationId xmlns:a16="http://schemas.microsoft.com/office/drawing/2014/main" id="{6C372543-B664-484E-987B-4249A8AC2B83}"/>
            </a:ext>
          </a:extLst>
        </xdr:cNvPr>
        <xdr:cNvSpPr txBox="1"/>
      </xdr:nvSpPr>
      <xdr:spPr>
        <a:xfrm>
          <a:off x="13363575" y="19831050"/>
          <a:ext cx="9610725" cy="64770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CONTÁBIL</a:t>
          </a:r>
          <a:r>
            <a:rPr lang="pt-BR" sz="1100">
              <a:solidFill>
                <a:schemeClr val="bg1"/>
              </a:solidFill>
              <a:effectLst/>
              <a:latin typeface="+mn-lt"/>
              <a:ea typeface="+mn-ea"/>
              <a:cs typeface="+mn-cs"/>
            </a:rPr>
            <a:t>: É um módulo adicional do produto GUARANI ERP que garante a efetividade da Gestão Contábil, esta solução integra os valores dos movimentos de outros módulos para gerar balancetes, balanços, demonstrativos. Atende todas as obrigações legais e fiscais/tributárias, prevendo em tempo real os impostos a serem recolhidos e valores que podem ser ressarcidos, a qualquer momento.</a:t>
          </a:r>
        </a:p>
        <a:p>
          <a:endParaRPr lang="pt-BR" sz="1100">
            <a:solidFill>
              <a:schemeClr val="bg1"/>
            </a:solidFill>
          </a:endParaRPr>
        </a:p>
      </xdr:txBody>
    </xdr:sp>
    <xdr:clientData/>
  </xdr:twoCellAnchor>
  <xdr:twoCellAnchor>
    <xdr:from>
      <xdr:col>0</xdr:col>
      <xdr:colOff>47625</xdr:colOff>
      <xdr:row>25</xdr:row>
      <xdr:rowOff>28575</xdr:rowOff>
    </xdr:from>
    <xdr:to>
      <xdr:col>6</xdr:col>
      <xdr:colOff>47625</xdr:colOff>
      <xdr:row>28</xdr:row>
      <xdr:rowOff>123825</xdr:rowOff>
    </xdr:to>
    <xdr:sp macro="" textlink="">
      <xdr:nvSpPr>
        <xdr:cNvPr id="6" name="CaixaDeTexto 5">
          <a:extLst>
            <a:ext uri="{FF2B5EF4-FFF2-40B4-BE49-F238E27FC236}">
              <a16:creationId xmlns:a16="http://schemas.microsoft.com/office/drawing/2014/main" id="{A76827F6-A2F8-4FA0-BA7F-F501673B8C04}"/>
            </a:ext>
          </a:extLst>
        </xdr:cNvPr>
        <xdr:cNvSpPr txBox="1"/>
      </xdr:nvSpPr>
      <xdr:spPr>
        <a:xfrm>
          <a:off x="47625" y="20297775"/>
          <a:ext cx="13173075" cy="66675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MANIFESTAÇÃO DO DESTINATÁRIO:</a:t>
          </a:r>
          <a:r>
            <a:rPr lang="pt-BR" sz="1100">
              <a:solidFill>
                <a:schemeClr val="bg1"/>
              </a:solidFill>
              <a:effectLst/>
              <a:latin typeface="+mn-lt"/>
              <a:ea typeface="+mn-ea"/>
              <a:cs typeface="+mn-cs"/>
            </a:rPr>
            <a:t> É um software que realiza a captação de XMLs de NF-e que são emitidas contra a empresa. O nosso módulo permite através de um painel dentro do GUARANI ERP, fazer a interceptação desses documentos, dar ciência, negar ou aceitar e possui integração com pedidos de compra, entradas de notas fiscais, conferência de entrada de mercadorias (Guarani WMS) e demais aplicações futuras.</a:t>
          </a:r>
        </a:p>
        <a:p>
          <a:endParaRPr lang="pt-BR" sz="1100">
            <a:solidFill>
              <a:schemeClr val="bg1"/>
            </a:solidFill>
          </a:endParaRPr>
        </a:p>
      </xdr:txBody>
    </xdr:sp>
    <xdr:clientData/>
  </xdr:twoCellAnchor>
  <xdr:twoCellAnchor>
    <xdr:from>
      <xdr:col>0</xdr:col>
      <xdr:colOff>47625</xdr:colOff>
      <xdr:row>20</xdr:row>
      <xdr:rowOff>9525</xdr:rowOff>
    </xdr:from>
    <xdr:to>
      <xdr:col>6</xdr:col>
      <xdr:colOff>47625</xdr:colOff>
      <xdr:row>22</xdr:row>
      <xdr:rowOff>85725</xdr:rowOff>
    </xdr:to>
    <xdr:sp macro="" textlink="">
      <xdr:nvSpPr>
        <xdr:cNvPr id="7" name="CaixaDeTexto 6">
          <a:extLst>
            <a:ext uri="{FF2B5EF4-FFF2-40B4-BE49-F238E27FC236}">
              <a16:creationId xmlns:a16="http://schemas.microsoft.com/office/drawing/2014/main" id="{4927562F-DA07-4593-A8AD-7B0FEC94B186}"/>
            </a:ext>
          </a:extLst>
        </xdr:cNvPr>
        <xdr:cNvSpPr txBox="1"/>
      </xdr:nvSpPr>
      <xdr:spPr>
        <a:xfrm>
          <a:off x="47625" y="19326225"/>
          <a:ext cx="13173075" cy="45720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TRAY:</a:t>
          </a:r>
          <a:r>
            <a:rPr lang="pt-BR" sz="1100">
              <a:solidFill>
                <a:schemeClr val="bg1"/>
              </a:solidFill>
              <a:effectLst/>
              <a:latin typeface="+mn-lt"/>
              <a:ea typeface="+mn-ea"/>
              <a:cs typeface="+mn-cs"/>
            </a:rPr>
            <a:t> Trata-se de um hub de integração com Marketplaces renomados como Mercado Livre, Leroy Merlin, B2W, Amazon e mais 37 outros. Possuímos um painel com integração que ajuda o cliente em uma plataforma única vender para consumidores – modelo B2C.</a:t>
          </a:r>
        </a:p>
        <a:p>
          <a:endParaRPr lang="pt-BR" sz="1100">
            <a:solidFill>
              <a:schemeClr val="bg1"/>
            </a:solidFill>
          </a:endParaRPr>
        </a:p>
      </xdr:txBody>
    </xdr:sp>
    <xdr:clientData/>
  </xdr:twoCellAnchor>
  <xdr:twoCellAnchor>
    <xdr:from>
      <xdr:col>6</xdr:col>
      <xdr:colOff>161925</xdr:colOff>
      <xdr:row>1</xdr:row>
      <xdr:rowOff>190499</xdr:rowOff>
    </xdr:from>
    <xdr:to>
      <xdr:col>14</xdr:col>
      <xdr:colOff>742950</xdr:colOff>
      <xdr:row>6</xdr:row>
      <xdr:rowOff>142875</xdr:rowOff>
    </xdr:to>
    <xdr:sp macro="" textlink="">
      <xdr:nvSpPr>
        <xdr:cNvPr id="8" name="CaixaDeTexto 7">
          <a:extLst>
            <a:ext uri="{FF2B5EF4-FFF2-40B4-BE49-F238E27FC236}">
              <a16:creationId xmlns:a16="http://schemas.microsoft.com/office/drawing/2014/main" id="{A6DCEE5D-4EA7-4752-8591-930BA40C0CA1}"/>
            </a:ext>
          </a:extLst>
        </xdr:cNvPr>
        <xdr:cNvSpPr txBox="1"/>
      </xdr:nvSpPr>
      <xdr:spPr>
        <a:xfrm>
          <a:off x="13335000" y="15887699"/>
          <a:ext cx="9610725" cy="904876"/>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TELEMARKETING:</a:t>
          </a:r>
          <a:r>
            <a:rPr lang="pt-BR" sz="1100">
              <a:solidFill>
                <a:schemeClr val="bg1"/>
              </a:solidFill>
              <a:effectLst/>
              <a:latin typeface="+mn-lt"/>
              <a:ea typeface="+mn-ea"/>
              <a:cs typeface="+mn-cs"/>
            </a:rPr>
            <a:t> É um canal que aproxima sua empresa de seus clientes, seja promovendo a venda interna ou oferecendo um completo serviço de atendimento. Este módulo permite a criação de campanhas, agenda dos operadores de forma automática, gerenciamento da carteira de cada operador, envio de orçamento web ao cliente, controle sobre as operações dos agentes, assim como acompanhar a eficiência do setor em relação as vendas.</a:t>
          </a:r>
        </a:p>
        <a:p>
          <a:endParaRPr lang="pt-BR" sz="1100">
            <a:solidFill>
              <a:schemeClr val="bg1"/>
            </a:solidFill>
          </a:endParaRPr>
        </a:p>
      </xdr:txBody>
    </xdr:sp>
    <xdr:clientData/>
  </xdr:twoCellAnchor>
  <xdr:twoCellAnchor>
    <xdr:from>
      <xdr:col>0</xdr:col>
      <xdr:colOff>28575</xdr:colOff>
      <xdr:row>9</xdr:row>
      <xdr:rowOff>47624</xdr:rowOff>
    </xdr:from>
    <xdr:to>
      <xdr:col>6</xdr:col>
      <xdr:colOff>28575</xdr:colOff>
      <xdr:row>12</xdr:row>
      <xdr:rowOff>152400</xdr:rowOff>
    </xdr:to>
    <xdr:sp macro="" textlink="">
      <xdr:nvSpPr>
        <xdr:cNvPr id="9" name="CaixaDeTexto 8">
          <a:extLst>
            <a:ext uri="{FF2B5EF4-FFF2-40B4-BE49-F238E27FC236}">
              <a16:creationId xmlns:a16="http://schemas.microsoft.com/office/drawing/2014/main" id="{9B0F4A51-DB43-43F3-8483-C82D821CB38F}"/>
            </a:ext>
          </a:extLst>
        </xdr:cNvPr>
        <xdr:cNvSpPr txBox="1"/>
      </xdr:nvSpPr>
      <xdr:spPr>
        <a:xfrm>
          <a:off x="28575" y="17268824"/>
          <a:ext cx="13173075" cy="676276"/>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BI:</a:t>
          </a:r>
          <a:r>
            <a:rPr lang="pt-BR" sz="1100">
              <a:solidFill>
                <a:schemeClr val="bg1"/>
              </a:solidFill>
              <a:effectLst/>
              <a:latin typeface="+mn-lt"/>
              <a:ea typeface="+mn-ea"/>
              <a:cs typeface="+mn-cs"/>
            </a:rPr>
            <a:t> É uma plataforma que apresenta ferramentas de descoberta de dados, análises de autoatendimento, relatórios e dashboards. Esta solução promove uma integração entre os colaboradores e os dados através de indicadores de desempenho. Trata-se de uma solução em nuvem que oferece a visualização de dados em formato de KPIs e atua como uma gestão dos agentes de venda.</a:t>
          </a:r>
        </a:p>
        <a:p>
          <a:endParaRPr lang="pt-BR" sz="1100">
            <a:solidFill>
              <a:schemeClr val="bg1"/>
            </a:solidFill>
          </a:endParaRPr>
        </a:p>
      </xdr:txBody>
    </xdr:sp>
    <xdr:clientData/>
  </xdr:twoCellAnchor>
  <xdr:twoCellAnchor>
    <xdr:from>
      <xdr:col>6</xdr:col>
      <xdr:colOff>171450</xdr:colOff>
      <xdr:row>7</xdr:row>
      <xdr:rowOff>9524</xdr:rowOff>
    </xdr:from>
    <xdr:to>
      <xdr:col>15</xdr:col>
      <xdr:colOff>0</xdr:colOff>
      <xdr:row>10</xdr:row>
      <xdr:rowOff>114300</xdr:rowOff>
    </xdr:to>
    <xdr:sp macro="" textlink="">
      <xdr:nvSpPr>
        <xdr:cNvPr id="10" name="CaixaDeTexto 9">
          <a:extLst>
            <a:ext uri="{FF2B5EF4-FFF2-40B4-BE49-F238E27FC236}">
              <a16:creationId xmlns:a16="http://schemas.microsoft.com/office/drawing/2014/main" id="{864D01EA-502A-41E8-8305-7E6DFBB52C1E}"/>
            </a:ext>
          </a:extLst>
        </xdr:cNvPr>
        <xdr:cNvSpPr txBox="1"/>
      </xdr:nvSpPr>
      <xdr:spPr>
        <a:xfrm>
          <a:off x="10353675" y="1343024"/>
          <a:ext cx="11839575" cy="676276"/>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MDF-E:</a:t>
          </a:r>
          <a:r>
            <a:rPr lang="pt-BR" sz="1100">
              <a:solidFill>
                <a:schemeClr val="bg1"/>
              </a:solidFill>
              <a:effectLst/>
              <a:latin typeface="+mn-lt"/>
              <a:ea typeface="+mn-ea"/>
              <a:cs typeface="+mn-cs"/>
            </a:rPr>
            <a:t> Manifesto Eletrônico de Documentos Fiscais. É o documento emitido e armazenado eletronicamente, de existência apenas digital, para vincular os documentos fiscais transportados na unidade de carga utilizada. O nosso módulo permite através de um painel dentro do Guarani ERP, a geração rápida e fácil deste documento fiscal obrigatório, para transporte de suas cargas.</a:t>
          </a:r>
        </a:p>
        <a:p>
          <a:endParaRPr lang="pt-BR" sz="1100">
            <a:solidFill>
              <a:schemeClr val="bg1"/>
            </a:solidFill>
          </a:endParaRPr>
        </a:p>
      </xdr:txBody>
    </xdr:sp>
    <xdr:clientData/>
  </xdr:twoCellAnchor>
  <xdr:twoCellAnchor>
    <xdr:from>
      <xdr:col>6</xdr:col>
      <xdr:colOff>180975</xdr:colOff>
      <xdr:row>10</xdr:row>
      <xdr:rowOff>190499</xdr:rowOff>
    </xdr:from>
    <xdr:to>
      <xdr:col>14</xdr:col>
      <xdr:colOff>762000</xdr:colOff>
      <xdr:row>14</xdr:row>
      <xdr:rowOff>104775</xdr:rowOff>
    </xdr:to>
    <xdr:sp macro="" textlink="">
      <xdr:nvSpPr>
        <xdr:cNvPr id="11" name="CaixaDeTexto 10">
          <a:extLst>
            <a:ext uri="{FF2B5EF4-FFF2-40B4-BE49-F238E27FC236}">
              <a16:creationId xmlns:a16="http://schemas.microsoft.com/office/drawing/2014/main" id="{88058C7C-7AE3-46F8-9D9E-35FB9EBDE9C1}"/>
            </a:ext>
          </a:extLst>
        </xdr:cNvPr>
        <xdr:cNvSpPr txBox="1"/>
      </xdr:nvSpPr>
      <xdr:spPr>
        <a:xfrm>
          <a:off x="13354050" y="17602199"/>
          <a:ext cx="9610725" cy="676276"/>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CT-e: </a:t>
          </a:r>
          <a:r>
            <a:rPr lang="pt-BR" sz="1100">
              <a:solidFill>
                <a:schemeClr val="bg1"/>
              </a:solidFill>
              <a:effectLst/>
              <a:latin typeface="+mn-lt"/>
              <a:ea typeface="+mn-ea"/>
              <a:cs typeface="+mn-cs"/>
            </a:rPr>
            <a:t>Conhecimento de Transporte Eletrônico. É um documento digital utilizado para registrar e documentar a prestação de serviços de transporte de cargas. O nosso módulo permite através de um painel dentro do Guarani ERP, a geração rápida e fácil deste documento fiscal obrigatório, para transporte de suas cargas.</a:t>
          </a:r>
        </a:p>
        <a:p>
          <a:endParaRPr lang="pt-BR" sz="1100">
            <a:solidFill>
              <a:schemeClr val="bg1"/>
            </a:solidFill>
          </a:endParaRPr>
        </a:p>
      </xdr:txBody>
    </xdr:sp>
    <xdr:clientData/>
  </xdr:twoCellAnchor>
  <xdr:twoCellAnchor>
    <xdr:from>
      <xdr:col>0</xdr:col>
      <xdr:colOff>47625</xdr:colOff>
      <xdr:row>37</xdr:row>
      <xdr:rowOff>47623</xdr:rowOff>
    </xdr:from>
    <xdr:to>
      <xdr:col>6</xdr:col>
      <xdr:colOff>47625</xdr:colOff>
      <xdr:row>51</xdr:row>
      <xdr:rowOff>152400</xdr:rowOff>
    </xdr:to>
    <xdr:sp macro="" textlink="">
      <xdr:nvSpPr>
        <xdr:cNvPr id="12" name="CaixaDeTexto 11">
          <a:extLst>
            <a:ext uri="{FF2B5EF4-FFF2-40B4-BE49-F238E27FC236}">
              <a16:creationId xmlns:a16="http://schemas.microsoft.com/office/drawing/2014/main" id="{0F6865C0-F2FB-4C8F-87DB-DDCC2578F84A}"/>
            </a:ext>
          </a:extLst>
        </xdr:cNvPr>
        <xdr:cNvSpPr txBox="1"/>
      </xdr:nvSpPr>
      <xdr:spPr>
        <a:xfrm>
          <a:off x="47625" y="22602823"/>
          <a:ext cx="13173075" cy="2771777"/>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LINK DE PAGAMENTO:</a:t>
          </a:r>
          <a:r>
            <a:rPr lang="pt-BR" sz="1100">
              <a:solidFill>
                <a:schemeClr val="bg1"/>
              </a:solidFill>
              <a:effectLst/>
              <a:latin typeface="+mn-lt"/>
              <a:ea typeface="+mn-ea"/>
              <a:cs typeface="+mn-cs"/>
            </a:rPr>
            <a:t> Trata-se de uma funcionalidade de uma nova modalidade de pagamentos que pode ser oferecida aos seus compradores. Com essa funcionalidade, a sua empresa poderá enviar um link personalizado para cada cliente via WhatsApp*, e-mail ou outros mensageiros, de maneira que o comprador, ao abrir o link, poderá efetuar o pagamento com seus cartões de crédito. Isso facilitará o pagamento das compras realizadas, reduzirá a inadimplência, aumentará a efetividade das compras e oferecerá mais um canal digital para os compradores realizarem suas compras recorrentes ou pontuais.</a:t>
          </a:r>
        </a:p>
        <a:p>
          <a:r>
            <a:rPr lang="pt-BR" sz="1100">
              <a:solidFill>
                <a:schemeClr val="bg1"/>
              </a:solidFill>
              <a:effectLst/>
              <a:latin typeface="+mn-lt"/>
              <a:ea typeface="+mn-ea"/>
              <a:cs typeface="+mn-cs"/>
            </a:rPr>
            <a:t>O Guarani ainda oferece um painel de controle, onde, além do envio do link de pagamento, é possível acompanhar o status desses recebimentos, como pagamento já realizado,aprovado ou negado. Após a compra ser aprovada, o Guarani automaticamente realizará a baixa financeira do título, com todos os dados do cartão de crédito utilizado. As informações estarão disponíveis para posterior realização da conciliação bancária. Além disso, oferecemos soluçõesdentro do Guarani através da importação de arquivos dos adquirentes ou de aplicativos especializados em cartão decrédito, como a CONCIL e a KONCILI.</a:t>
          </a:r>
        </a:p>
        <a:p>
          <a:r>
            <a:rPr lang="pt-BR" sz="1100">
              <a:solidFill>
                <a:schemeClr val="bg1"/>
              </a:solidFill>
              <a:effectLst/>
              <a:latin typeface="+mn-lt"/>
              <a:ea typeface="+mn-ea"/>
              <a:cs typeface="+mn-cs"/>
            </a:rPr>
            <a:t>*O Guarani oferece a oportunidade de copiar o link, sendo possível colá-lo no WhatsApp Web e enviar. Além disso, é possível enviar o linkpor e-mail de dentro do painel.</a:t>
          </a:r>
        </a:p>
        <a:p>
          <a:r>
            <a:rPr lang="pt-BR" sz="1100">
              <a:solidFill>
                <a:schemeClr val="bg1"/>
              </a:solidFill>
              <a:effectLst/>
              <a:latin typeface="+mn-lt"/>
              <a:ea typeface="+mn-ea"/>
              <a:cs typeface="+mn-cs"/>
            </a:rPr>
            <a:t>**Atualmente fazemos integração com CIELO SUPER LINK e SAFRAPAY.</a:t>
          </a:r>
          <a:endParaRPr lang="pt-BR" sz="1100">
            <a:solidFill>
              <a:schemeClr val="bg1"/>
            </a:solidFill>
          </a:endParaRPr>
        </a:p>
      </xdr:txBody>
    </xdr:sp>
    <xdr:clientData/>
  </xdr:twoCellAnchor>
  <xdr:twoCellAnchor>
    <xdr:from>
      <xdr:col>0</xdr:col>
      <xdr:colOff>28575</xdr:colOff>
      <xdr:row>5</xdr:row>
      <xdr:rowOff>38099</xdr:rowOff>
    </xdr:from>
    <xdr:to>
      <xdr:col>6</xdr:col>
      <xdr:colOff>28575</xdr:colOff>
      <xdr:row>8</xdr:row>
      <xdr:rowOff>152401</xdr:rowOff>
    </xdr:to>
    <xdr:sp macro="" textlink="">
      <xdr:nvSpPr>
        <xdr:cNvPr id="13" name="CaixaDeTexto 12">
          <a:extLst>
            <a:ext uri="{FF2B5EF4-FFF2-40B4-BE49-F238E27FC236}">
              <a16:creationId xmlns:a16="http://schemas.microsoft.com/office/drawing/2014/main" id="{30CC6CE8-528B-43D9-A30A-89EC9F2CC6AD}"/>
            </a:ext>
          </a:extLst>
        </xdr:cNvPr>
        <xdr:cNvSpPr txBox="1"/>
      </xdr:nvSpPr>
      <xdr:spPr>
        <a:xfrm>
          <a:off x="28575" y="16497299"/>
          <a:ext cx="13173075" cy="685802"/>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AFV (Automação de Força de Vendas):</a:t>
          </a:r>
          <a:r>
            <a:rPr lang="pt-BR" sz="1100">
              <a:solidFill>
                <a:schemeClr val="bg1"/>
              </a:solidFill>
              <a:effectLst/>
              <a:latin typeface="+mn-lt"/>
              <a:ea typeface="+mn-ea"/>
              <a:cs typeface="+mn-cs"/>
            </a:rPr>
            <a:t> É um software que gerencia as informações comerciais de equipes de vendas externas. Seus principais objetivos são: automatizar o processo de vendas; aumentar a produtividade dos vendedores e organizar a forma com que os pedidos chegam até a empresa.</a:t>
          </a:r>
        </a:p>
        <a:p>
          <a:endParaRPr lang="pt-BR" sz="1100">
            <a:solidFill>
              <a:schemeClr val="bg1"/>
            </a:solidFill>
          </a:endParaRPr>
        </a:p>
      </xdr:txBody>
    </xdr:sp>
    <xdr:clientData/>
  </xdr:twoCellAnchor>
  <xdr:twoCellAnchor>
    <xdr:from>
      <xdr:col>0</xdr:col>
      <xdr:colOff>38100</xdr:colOff>
      <xdr:row>17</xdr:row>
      <xdr:rowOff>28575</xdr:rowOff>
    </xdr:from>
    <xdr:to>
      <xdr:col>6</xdr:col>
      <xdr:colOff>38100</xdr:colOff>
      <xdr:row>19</xdr:row>
      <xdr:rowOff>114300</xdr:rowOff>
    </xdr:to>
    <xdr:sp macro="" textlink="">
      <xdr:nvSpPr>
        <xdr:cNvPr id="14" name="CaixaDeTexto 13">
          <a:extLst>
            <a:ext uri="{FF2B5EF4-FFF2-40B4-BE49-F238E27FC236}">
              <a16:creationId xmlns:a16="http://schemas.microsoft.com/office/drawing/2014/main" id="{FB06B522-29D4-490F-8854-968F557F3562}"/>
            </a:ext>
          </a:extLst>
        </xdr:cNvPr>
        <xdr:cNvSpPr txBox="1"/>
      </xdr:nvSpPr>
      <xdr:spPr>
        <a:xfrm>
          <a:off x="38100" y="18773775"/>
          <a:ext cx="13173075" cy="466725"/>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 B2B: </a:t>
          </a:r>
          <a:r>
            <a:rPr lang="pt-BR" sz="1100" b="0">
              <a:solidFill>
                <a:schemeClr val="bg1"/>
              </a:solidFill>
              <a:effectLst/>
              <a:latin typeface="+mn-lt"/>
              <a:ea typeface="+mn-ea"/>
              <a:cs typeface="+mn-cs"/>
            </a:rPr>
            <a:t>É uma solução de e-commerce B2B, ou seja, lojistas comprando de indústrias, importadores ou distribuidores demaneira digital, podendo pagar com cartão de crédito, boleto antecipado, faturamento ou pix.</a:t>
          </a:r>
          <a:endParaRPr lang="pt-BR" sz="1100" b="0">
            <a:solidFill>
              <a:schemeClr val="bg1"/>
            </a:solidFill>
          </a:endParaRPr>
        </a:p>
      </xdr:txBody>
    </xdr:sp>
    <xdr:clientData/>
  </xdr:twoCellAnchor>
  <xdr:twoCellAnchor>
    <xdr:from>
      <xdr:col>0</xdr:col>
      <xdr:colOff>38100</xdr:colOff>
      <xdr:row>13</xdr:row>
      <xdr:rowOff>38100</xdr:rowOff>
    </xdr:from>
    <xdr:to>
      <xdr:col>6</xdr:col>
      <xdr:colOff>38100</xdr:colOff>
      <xdr:row>16</xdr:row>
      <xdr:rowOff>133350</xdr:rowOff>
    </xdr:to>
    <xdr:sp macro="" textlink="">
      <xdr:nvSpPr>
        <xdr:cNvPr id="15" name="CaixaDeTexto 14">
          <a:extLst>
            <a:ext uri="{FF2B5EF4-FFF2-40B4-BE49-F238E27FC236}">
              <a16:creationId xmlns:a16="http://schemas.microsoft.com/office/drawing/2014/main" id="{AFC104CB-8CCB-41BF-A6D2-E21327250DD6}"/>
            </a:ext>
          </a:extLst>
        </xdr:cNvPr>
        <xdr:cNvSpPr txBox="1"/>
      </xdr:nvSpPr>
      <xdr:spPr>
        <a:xfrm>
          <a:off x="38100" y="18021300"/>
          <a:ext cx="13173075" cy="66675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GUARANI</a:t>
          </a:r>
          <a:r>
            <a:rPr lang="pt-BR" sz="1100" b="1" baseline="0">
              <a:solidFill>
                <a:schemeClr val="bg1"/>
              </a:solidFill>
              <a:effectLst/>
              <a:latin typeface="+mn-lt"/>
              <a:ea typeface="+mn-ea"/>
              <a:cs typeface="+mn-cs"/>
            </a:rPr>
            <a:t> CLOUD: </a:t>
          </a:r>
          <a:r>
            <a:rPr lang="pt-BR" sz="1100" b="0">
              <a:solidFill>
                <a:schemeClr val="bg1"/>
              </a:solidFill>
              <a:effectLst/>
              <a:latin typeface="+mn-lt"/>
              <a:ea typeface="+mn-ea"/>
              <a:cs typeface="+mn-cs"/>
            </a:rPr>
            <a:t>Simplifique a sua infraestrutura com o Guarani Cloud. Base em nuvem com escalonamento automático, altadisponibilidade, segurança, backup e acessibilidade.</a:t>
          </a:r>
        </a:p>
        <a:p>
          <a:r>
            <a:rPr lang="pt-BR" sz="1100" b="0">
              <a:solidFill>
                <a:schemeClr val="bg1"/>
              </a:solidFill>
              <a:effectLst/>
              <a:latin typeface="+mn-lt"/>
              <a:ea typeface="+mn-ea"/>
              <a:cs typeface="+mn-cs"/>
            </a:rPr>
            <a:t>Fácil acesso de qualquer lugar em ambiente confiável e ágil.</a:t>
          </a:r>
          <a:endParaRPr lang="pt-BR" sz="1100" b="0">
            <a:solidFill>
              <a:schemeClr val="bg1"/>
            </a:solidFill>
          </a:endParaRPr>
        </a:p>
      </xdr:txBody>
    </xdr:sp>
    <xdr:clientData/>
  </xdr:twoCellAnchor>
  <xdr:twoCellAnchor>
    <xdr:from>
      <xdr:col>0</xdr:col>
      <xdr:colOff>47625</xdr:colOff>
      <xdr:row>23</xdr:row>
      <xdr:rowOff>0</xdr:rowOff>
    </xdr:from>
    <xdr:to>
      <xdr:col>6</xdr:col>
      <xdr:colOff>47625</xdr:colOff>
      <xdr:row>24</xdr:row>
      <xdr:rowOff>123825</xdr:rowOff>
    </xdr:to>
    <xdr:sp macro="" textlink="">
      <xdr:nvSpPr>
        <xdr:cNvPr id="16" name="CaixaDeTexto 15">
          <a:extLst>
            <a:ext uri="{FF2B5EF4-FFF2-40B4-BE49-F238E27FC236}">
              <a16:creationId xmlns:a16="http://schemas.microsoft.com/office/drawing/2014/main" id="{A06E40AB-3F0B-4FDC-B2DB-64D9D2916A1D}"/>
            </a:ext>
          </a:extLst>
        </xdr:cNvPr>
        <xdr:cNvSpPr txBox="1"/>
      </xdr:nvSpPr>
      <xdr:spPr>
        <a:xfrm>
          <a:off x="47625" y="19888200"/>
          <a:ext cx="13173075" cy="314325"/>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CNPJ ADICIONAL:</a:t>
          </a:r>
          <a:r>
            <a:rPr lang="pt-BR" sz="1100">
              <a:solidFill>
                <a:schemeClr val="bg1"/>
              </a:solidFill>
              <a:effectLst/>
              <a:latin typeface="+mn-lt"/>
              <a:ea typeface="+mn-ea"/>
              <a:cs typeface="+mn-cs"/>
            </a:rPr>
            <a:t> Trata-se quando a empresa possui outros CNPJ no grupo economico e deseja incluir no sistema.</a:t>
          </a:r>
        </a:p>
        <a:p>
          <a:endParaRPr lang="pt-BR" sz="1100">
            <a:solidFill>
              <a:schemeClr val="bg1"/>
            </a:solidFill>
          </a:endParaRPr>
        </a:p>
      </xdr:txBody>
    </xdr:sp>
    <xdr:clientData/>
  </xdr:twoCellAnchor>
  <xdr:twoCellAnchor>
    <xdr:from>
      <xdr:col>0</xdr:col>
      <xdr:colOff>47625</xdr:colOff>
      <xdr:row>29</xdr:row>
      <xdr:rowOff>28574</xdr:rowOff>
    </xdr:from>
    <xdr:to>
      <xdr:col>6</xdr:col>
      <xdr:colOff>47625</xdr:colOff>
      <xdr:row>35</xdr:row>
      <xdr:rowOff>0</xdr:rowOff>
    </xdr:to>
    <xdr:sp macro="" textlink="">
      <xdr:nvSpPr>
        <xdr:cNvPr id="17" name="CaixaDeTexto 16">
          <a:extLst>
            <a:ext uri="{FF2B5EF4-FFF2-40B4-BE49-F238E27FC236}">
              <a16:creationId xmlns:a16="http://schemas.microsoft.com/office/drawing/2014/main" id="{416C7B61-A4E1-4A9F-9416-42A546D78075}"/>
            </a:ext>
          </a:extLst>
        </xdr:cNvPr>
        <xdr:cNvSpPr txBox="1"/>
      </xdr:nvSpPr>
      <xdr:spPr>
        <a:xfrm>
          <a:off x="47625" y="21059774"/>
          <a:ext cx="13173075" cy="1114426"/>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IMPORTAÇÃO XML (MERCADO LIVRE FULL):</a:t>
          </a:r>
          <a:r>
            <a:rPr lang="pt-BR" sz="1100">
              <a:solidFill>
                <a:schemeClr val="bg1"/>
              </a:solidFill>
              <a:effectLst/>
              <a:latin typeface="+mn-lt"/>
              <a:ea typeface="+mn-ea"/>
              <a:cs typeface="+mn-cs"/>
            </a:rPr>
            <a:t> É uma operação completa de venda e entrega que o Mercado Livre oferece para seus clientes, nessa modalidade a empresa pode armazenar suas mercadorias nos centros logísticos do mercado livre, e quando o consumidor compra a mercadoria o mercado livre emite a nota fiscal eletrônica do cliente, faz a entrega pelo mercado envios e recebimentos pelo mercado pago. O nosso módulo permite através de um painel dentro do GUARANI ERP, a integração dos XMLs, ajustando toda a escrituração fiscal de saída, ordens de venda para o cliente, cadastro do cliente, contas a receber tudo registrado, baixando e tudo mais.</a:t>
          </a:r>
          <a:endParaRPr lang="pt-BR">
            <a:solidFill>
              <a:schemeClr val="bg1"/>
            </a:solidFill>
            <a:effectLst/>
          </a:endParaRPr>
        </a:p>
        <a:p>
          <a:endParaRPr lang="pt-BR" sz="1100">
            <a:solidFill>
              <a:schemeClr val="bg1"/>
            </a:solidFill>
          </a:endParaRPr>
        </a:p>
      </xdr:txBody>
    </xdr:sp>
    <xdr:clientData/>
  </xdr:twoCellAnchor>
  <xdr:twoCellAnchor>
    <xdr:from>
      <xdr:col>6</xdr:col>
      <xdr:colOff>180975</xdr:colOff>
      <xdr:row>14</xdr:row>
      <xdr:rowOff>161924</xdr:rowOff>
    </xdr:from>
    <xdr:to>
      <xdr:col>14</xdr:col>
      <xdr:colOff>762000</xdr:colOff>
      <xdr:row>18</xdr:row>
      <xdr:rowOff>76200</xdr:rowOff>
    </xdr:to>
    <xdr:sp macro="" textlink="">
      <xdr:nvSpPr>
        <xdr:cNvPr id="18" name="CaixaDeTexto 17">
          <a:extLst>
            <a:ext uri="{FF2B5EF4-FFF2-40B4-BE49-F238E27FC236}">
              <a16:creationId xmlns:a16="http://schemas.microsoft.com/office/drawing/2014/main" id="{F55E5167-0AD8-4A95-B8BD-62B3BD5C498E}"/>
            </a:ext>
          </a:extLst>
        </xdr:cNvPr>
        <xdr:cNvSpPr txBox="1"/>
      </xdr:nvSpPr>
      <xdr:spPr>
        <a:xfrm>
          <a:off x="13354050" y="18335624"/>
          <a:ext cx="9610725" cy="676276"/>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ENVIO DE BOLETO VIA WHATSAPP: </a:t>
          </a:r>
          <a:r>
            <a:rPr lang="pt-BR" sz="1100">
              <a:solidFill>
                <a:schemeClr val="bg1"/>
              </a:solidFill>
              <a:effectLst/>
              <a:latin typeface="+mn-lt"/>
              <a:ea typeface="+mn-ea"/>
              <a:cs typeface="+mn-cs"/>
            </a:rPr>
            <a:t>Trata-se de um software que realiza o envio de boletos através do Whatsapp. Com essa funcionalidade, a sua empresa poderá enviar boletos para cada cliente via Whatsapp, isso facilitará o pagamento do título e reduzirá a inadimplência.</a:t>
          </a:r>
          <a:endParaRPr lang="pt-BR" sz="1100">
            <a:solidFill>
              <a:schemeClr val="bg1"/>
            </a:solidFill>
          </a:endParaRPr>
        </a:p>
      </xdr:txBody>
    </xdr:sp>
    <xdr:clientData/>
  </xdr:twoCellAnchor>
  <xdr:twoCellAnchor>
    <xdr:from>
      <xdr:col>6</xdr:col>
      <xdr:colOff>180975</xdr:colOff>
      <xdr:row>18</xdr:row>
      <xdr:rowOff>161925</xdr:rowOff>
    </xdr:from>
    <xdr:to>
      <xdr:col>14</xdr:col>
      <xdr:colOff>762000</xdr:colOff>
      <xdr:row>22</xdr:row>
      <xdr:rowOff>47625</xdr:rowOff>
    </xdr:to>
    <xdr:sp macro="" textlink="">
      <xdr:nvSpPr>
        <xdr:cNvPr id="19" name="CaixaDeTexto 18">
          <a:extLst>
            <a:ext uri="{FF2B5EF4-FFF2-40B4-BE49-F238E27FC236}">
              <a16:creationId xmlns:a16="http://schemas.microsoft.com/office/drawing/2014/main" id="{40DD77B7-3F95-41E6-BA75-3066F602A3BE}"/>
            </a:ext>
          </a:extLst>
        </xdr:cNvPr>
        <xdr:cNvSpPr txBox="1"/>
      </xdr:nvSpPr>
      <xdr:spPr>
        <a:xfrm>
          <a:off x="13354050" y="19097625"/>
          <a:ext cx="9610725" cy="64770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CIAP (Controle de Crédito do ICMS do Ativo Permanente): </a:t>
          </a:r>
          <a:r>
            <a:rPr lang="pt-BR" sz="1100" b="0">
              <a:solidFill>
                <a:schemeClr val="bg1"/>
              </a:solidFill>
              <a:effectLst/>
              <a:latin typeface="+mn-lt"/>
              <a:ea typeface="+mn-ea"/>
              <a:cs typeface="+mn-cs"/>
            </a:rPr>
            <a:t>trata-se de uma solução de controle utilizado para creditar valores de ICMS decorrentes das aquisições de mercadorias destinadas ao ativo imobilizado das empresa. A solução permite controle dos bens e gerencia a depreciação do mesmo de forma mensal. </a:t>
          </a:r>
          <a:endParaRPr lang="pt-BR" sz="1100" b="0">
            <a:solidFill>
              <a:schemeClr val="bg1"/>
            </a:solidFill>
          </a:endParaRPr>
        </a:p>
      </xdr:txBody>
    </xdr:sp>
    <xdr:clientData/>
  </xdr:twoCellAnchor>
  <xdr:twoCellAnchor>
    <xdr:from>
      <xdr:col>0</xdr:col>
      <xdr:colOff>47625</xdr:colOff>
      <xdr:row>35</xdr:row>
      <xdr:rowOff>66674</xdr:rowOff>
    </xdr:from>
    <xdr:to>
      <xdr:col>6</xdr:col>
      <xdr:colOff>47625</xdr:colOff>
      <xdr:row>36</xdr:row>
      <xdr:rowOff>161926</xdr:rowOff>
    </xdr:to>
    <xdr:sp macro="" textlink="">
      <xdr:nvSpPr>
        <xdr:cNvPr id="20" name="CaixaDeTexto 19">
          <a:extLst>
            <a:ext uri="{FF2B5EF4-FFF2-40B4-BE49-F238E27FC236}">
              <a16:creationId xmlns:a16="http://schemas.microsoft.com/office/drawing/2014/main" id="{B8BAAC33-B9DA-47B2-8257-6AEA8562D4F2}"/>
            </a:ext>
          </a:extLst>
        </xdr:cNvPr>
        <xdr:cNvSpPr txBox="1"/>
      </xdr:nvSpPr>
      <xdr:spPr>
        <a:xfrm>
          <a:off x="47625" y="22240874"/>
          <a:ext cx="13173075" cy="285752"/>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CONCIL:</a:t>
          </a:r>
          <a:r>
            <a:rPr lang="pt-BR" sz="1100">
              <a:solidFill>
                <a:schemeClr val="bg1"/>
              </a:solidFill>
              <a:effectLst/>
              <a:latin typeface="+mn-lt"/>
              <a:ea typeface="+mn-ea"/>
              <a:cs typeface="+mn-cs"/>
            </a:rPr>
            <a:t> Trata-se de uma plataforma de conciliação de cartões de crédito.</a:t>
          </a:r>
          <a:endParaRPr lang="pt-BR" sz="1100">
            <a:solidFill>
              <a:schemeClr val="bg1"/>
            </a:solidFill>
          </a:endParaRPr>
        </a:p>
      </xdr:txBody>
    </xdr:sp>
    <xdr:clientData/>
  </xdr:twoCellAnchor>
  <xdr:twoCellAnchor>
    <xdr:from>
      <xdr:col>6</xdr:col>
      <xdr:colOff>219075</xdr:colOff>
      <xdr:row>34</xdr:row>
      <xdr:rowOff>47625</xdr:rowOff>
    </xdr:from>
    <xdr:to>
      <xdr:col>14</xdr:col>
      <xdr:colOff>800100</xdr:colOff>
      <xdr:row>37</xdr:row>
      <xdr:rowOff>123825</xdr:rowOff>
    </xdr:to>
    <xdr:sp macro="" textlink="">
      <xdr:nvSpPr>
        <xdr:cNvPr id="21" name="CaixaDeTexto 20">
          <a:extLst>
            <a:ext uri="{FF2B5EF4-FFF2-40B4-BE49-F238E27FC236}">
              <a16:creationId xmlns:a16="http://schemas.microsoft.com/office/drawing/2014/main" id="{57FF7A74-2A9E-49C6-A90E-D0497DC416BC}"/>
            </a:ext>
          </a:extLst>
        </xdr:cNvPr>
        <xdr:cNvSpPr txBox="1"/>
      </xdr:nvSpPr>
      <xdr:spPr>
        <a:xfrm>
          <a:off x="13392150" y="22031325"/>
          <a:ext cx="9610725" cy="64770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RoutEasy: </a:t>
          </a:r>
          <a:r>
            <a:rPr lang="pt-BR" sz="1100" b="0">
              <a:solidFill>
                <a:schemeClr val="bg1"/>
              </a:solidFill>
              <a:effectLst/>
              <a:latin typeface="+mn-lt"/>
              <a:ea typeface="+mn-ea"/>
              <a:cs typeface="+mn-cs"/>
            </a:rPr>
            <a:t>trata-se de uma solução de roteirização e acompanhamento e captação de eventos de entregas, temos uma painel que permite exportar e importar os dados, pontos (entregas) que foram roteirizados.</a:t>
          </a:r>
          <a:endParaRPr lang="pt-BR" sz="1100" b="0">
            <a:solidFill>
              <a:schemeClr val="bg1"/>
            </a:solidFill>
          </a:endParaRPr>
        </a:p>
      </xdr:txBody>
    </xdr:sp>
    <xdr:clientData/>
  </xdr:twoCellAnchor>
  <xdr:twoCellAnchor>
    <xdr:from>
      <xdr:col>6</xdr:col>
      <xdr:colOff>228600</xdr:colOff>
      <xdr:row>38</xdr:row>
      <xdr:rowOff>9525</xdr:rowOff>
    </xdr:from>
    <xdr:to>
      <xdr:col>14</xdr:col>
      <xdr:colOff>809625</xdr:colOff>
      <xdr:row>39</xdr:row>
      <xdr:rowOff>114300</xdr:rowOff>
    </xdr:to>
    <xdr:sp macro="" textlink="">
      <xdr:nvSpPr>
        <xdr:cNvPr id="22" name="CaixaDeTexto 21">
          <a:extLst>
            <a:ext uri="{FF2B5EF4-FFF2-40B4-BE49-F238E27FC236}">
              <a16:creationId xmlns:a16="http://schemas.microsoft.com/office/drawing/2014/main" id="{1ABB0828-A86E-410D-A358-C393CCE00A45}"/>
            </a:ext>
          </a:extLst>
        </xdr:cNvPr>
        <xdr:cNvSpPr txBox="1"/>
      </xdr:nvSpPr>
      <xdr:spPr>
        <a:xfrm>
          <a:off x="13401675" y="22755225"/>
          <a:ext cx="9610725" cy="295275"/>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PDV:</a:t>
          </a:r>
          <a:r>
            <a:rPr lang="pt-BR" sz="1100" b="1" baseline="0">
              <a:solidFill>
                <a:schemeClr val="bg1"/>
              </a:solidFill>
              <a:effectLst/>
              <a:latin typeface="+mn-lt"/>
              <a:ea typeface="+mn-ea"/>
              <a:cs typeface="+mn-cs"/>
            </a:rPr>
            <a:t> </a:t>
          </a:r>
          <a:r>
            <a:rPr lang="pt-BR" sz="1100" b="0">
              <a:solidFill>
                <a:schemeClr val="bg1"/>
              </a:solidFill>
              <a:effectLst/>
              <a:latin typeface="+mn-lt"/>
              <a:ea typeface="+mn-ea"/>
              <a:cs typeface="+mn-cs"/>
            </a:rPr>
            <a:t>Software de frente de caixa com autonomia de trabalhar offline atendendo redes de lojas e franquias principalmente.</a:t>
          </a:r>
          <a:endParaRPr lang="pt-BR" sz="1100" b="0">
            <a:solidFill>
              <a:schemeClr val="bg1"/>
            </a:solidFill>
          </a:endParaRPr>
        </a:p>
      </xdr:txBody>
    </xdr:sp>
    <xdr:clientData/>
  </xdr:twoCellAnchor>
  <xdr:twoCellAnchor>
    <xdr:from>
      <xdr:col>6</xdr:col>
      <xdr:colOff>228600</xdr:colOff>
      <xdr:row>40</xdr:row>
      <xdr:rowOff>28575</xdr:rowOff>
    </xdr:from>
    <xdr:to>
      <xdr:col>14</xdr:col>
      <xdr:colOff>809625</xdr:colOff>
      <xdr:row>42</xdr:row>
      <xdr:rowOff>114300</xdr:rowOff>
    </xdr:to>
    <xdr:sp macro="" textlink="">
      <xdr:nvSpPr>
        <xdr:cNvPr id="23" name="CaixaDeTexto 22">
          <a:extLst>
            <a:ext uri="{FF2B5EF4-FFF2-40B4-BE49-F238E27FC236}">
              <a16:creationId xmlns:a16="http://schemas.microsoft.com/office/drawing/2014/main" id="{703D09E9-47B6-4D91-B870-3B58147259B0}"/>
            </a:ext>
          </a:extLst>
        </xdr:cNvPr>
        <xdr:cNvSpPr txBox="1"/>
      </xdr:nvSpPr>
      <xdr:spPr>
        <a:xfrm>
          <a:off x="13401675" y="23155275"/>
          <a:ext cx="9610725" cy="466725"/>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bg1"/>
              </a:solidFill>
              <a:effectLst/>
              <a:latin typeface="+mn-lt"/>
              <a:ea typeface="+mn-ea"/>
              <a:cs typeface="+mn-cs"/>
            </a:rPr>
            <a:t>PLUGG.TO</a:t>
          </a:r>
          <a:r>
            <a:rPr lang="pt-BR" sz="1100" b="1" baseline="0">
              <a:solidFill>
                <a:schemeClr val="bg1"/>
              </a:solidFill>
              <a:effectLst/>
              <a:latin typeface="+mn-lt"/>
              <a:ea typeface="+mn-ea"/>
              <a:cs typeface="+mn-cs"/>
            </a:rPr>
            <a:t> / TRAY / LEXOS / JETCOMMMERCER </a:t>
          </a:r>
          <a:r>
            <a:rPr lang="pt-BR" sz="1100" b="1">
              <a:solidFill>
                <a:schemeClr val="bg1"/>
              </a:solidFill>
              <a:effectLst/>
              <a:latin typeface="+mn-lt"/>
              <a:ea typeface="+mn-ea"/>
              <a:cs typeface="+mn-cs"/>
            </a:rPr>
            <a:t>:</a:t>
          </a:r>
          <a:r>
            <a:rPr lang="pt-BR" sz="1100" b="1" baseline="0">
              <a:solidFill>
                <a:schemeClr val="bg1"/>
              </a:solidFill>
              <a:effectLst/>
              <a:latin typeface="+mn-lt"/>
              <a:ea typeface="+mn-ea"/>
              <a:cs typeface="+mn-cs"/>
            </a:rPr>
            <a:t> </a:t>
          </a:r>
          <a:r>
            <a:rPr lang="pt-BR" sz="1100" b="0">
              <a:solidFill>
                <a:schemeClr val="bg1"/>
              </a:solidFill>
              <a:effectLst/>
              <a:latin typeface="+mn-lt"/>
              <a:ea typeface="+mn-ea"/>
              <a:cs typeface="+mn-cs"/>
            </a:rPr>
            <a:t>Trata-se de hubs de integração com mais de 30 Marketplaces renomados como Mercado Livre, Leroy Merlin,B2W, Amazon e outros.</a:t>
          </a:r>
          <a:endParaRPr lang="pt-BR" sz="1100" b="0">
            <a:solidFill>
              <a:schemeClr val="bg1"/>
            </a:solidFill>
          </a:endParaRPr>
        </a:p>
      </xdr:txBody>
    </xdr:sp>
    <xdr:clientData/>
  </xdr:twoCellAnchor>
  <xdr:twoCellAnchor>
    <xdr:from>
      <xdr:col>6</xdr:col>
      <xdr:colOff>228600</xdr:colOff>
      <xdr:row>43</xdr:row>
      <xdr:rowOff>19050</xdr:rowOff>
    </xdr:from>
    <xdr:to>
      <xdr:col>14</xdr:col>
      <xdr:colOff>809625</xdr:colOff>
      <xdr:row>45</xdr:row>
      <xdr:rowOff>114300</xdr:rowOff>
    </xdr:to>
    <xdr:sp macro="" textlink="">
      <xdr:nvSpPr>
        <xdr:cNvPr id="24" name="CaixaDeTexto 23">
          <a:extLst>
            <a:ext uri="{FF2B5EF4-FFF2-40B4-BE49-F238E27FC236}">
              <a16:creationId xmlns:a16="http://schemas.microsoft.com/office/drawing/2014/main" id="{964546F2-995C-4001-B4C6-E9E0518A8B58}"/>
            </a:ext>
          </a:extLst>
        </xdr:cNvPr>
        <xdr:cNvSpPr txBox="1"/>
      </xdr:nvSpPr>
      <xdr:spPr>
        <a:xfrm>
          <a:off x="13401675" y="23717250"/>
          <a:ext cx="9610725" cy="47625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a:solidFill>
                <a:schemeClr val="bg1"/>
              </a:solidFill>
              <a:effectLst/>
              <a:latin typeface="+mn-lt"/>
              <a:ea typeface="+mn-ea"/>
              <a:cs typeface="+mn-cs"/>
            </a:rPr>
            <a:t>PESQUISA DE MERCADO (COLETA + QUIZ): </a:t>
          </a:r>
          <a:r>
            <a:rPr lang="pt-BR" sz="1100" b="0">
              <a:solidFill>
                <a:schemeClr val="bg1"/>
              </a:solidFill>
              <a:effectLst/>
              <a:latin typeface="+mn-lt"/>
              <a:ea typeface="+mn-ea"/>
              <a:cs typeface="+mn-cs"/>
            </a:rPr>
            <a:t>tarata-se</a:t>
          </a:r>
          <a:r>
            <a:rPr lang="pt-BR" sz="1100" b="0" baseline="0">
              <a:solidFill>
                <a:schemeClr val="bg1"/>
              </a:solidFill>
              <a:effectLst/>
              <a:latin typeface="+mn-lt"/>
              <a:ea typeface="+mn-ea"/>
              <a:cs typeface="+mn-cs"/>
            </a:rPr>
            <a:t> de uma solução que permite o RCA (representante comercial autônomo) coletar o estoque do cliente, afim de saber o que dever ser reposto, uma vez que a ferramenta consegue usar o giro de mercadoria para sugerir a reposição.</a:t>
          </a:r>
          <a:endParaRPr lang="pt-BR" sz="1100">
            <a:solidFill>
              <a:schemeClr val="bg1"/>
            </a:solidFill>
          </a:endParaRPr>
        </a:p>
      </xdr:txBody>
    </xdr:sp>
    <xdr:clientData/>
  </xdr:twoCellAnchor>
  <xdr:twoCellAnchor>
    <xdr:from>
      <xdr:col>6</xdr:col>
      <xdr:colOff>228600</xdr:colOff>
      <xdr:row>45</xdr:row>
      <xdr:rowOff>180975</xdr:rowOff>
    </xdr:from>
    <xdr:to>
      <xdr:col>14</xdr:col>
      <xdr:colOff>809625</xdr:colOff>
      <xdr:row>48</xdr:row>
      <xdr:rowOff>85725</xdr:rowOff>
    </xdr:to>
    <xdr:sp macro="" textlink="">
      <xdr:nvSpPr>
        <xdr:cNvPr id="25" name="CaixaDeTexto 24">
          <a:extLst>
            <a:ext uri="{FF2B5EF4-FFF2-40B4-BE49-F238E27FC236}">
              <a16:creationId xmlns:a16="http://schemas.microsoft.com/office/drawing/2014/main" id="{F5E886C9-4322-4933-B0BE-22BB650A5248}"/>
            </a:ext>
          </a:extLst>
        </xdr:cNvPr>
        <xdr:cNvSpPr txBox="1"/>
      </xdr:nvSpPr>
      <xdr:spPr>
        <a:xfrm>
          <a:off x="13401675" y="24260175"/>
          <a:ext cx="9610725" cy="47625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a:solidFill>
                <a:schemeClr val="bg1"/>
              </a:solidFill>
              <a:effectLst/>
              <a:latin typeface="+mn-lt"/>
              <a:ea typeface="+mn-ea"/>
              <a:cs typeface="+mn-cs"/>
            </a:rPr>
            <a:t>ORÇAMENTO WEB: </a:t>
          </a:r>
          <a:r>
            <a:rPr lang="pt-BR" sz="1100" b="0">
              <a:solidFill>
                <a:schemeClr val="bg1"/>
              </a:solidFill>
              <a:effectLst/>
              <a:latin typeface="+mn-lt"/>
              <a:ea typeface="+mn-ea"/>
              <a:cs typeface="+mn-cs"/>
            </a:rPr>
            <a:t>tarata-se</a:t>
          </a:r>
          <a:r>
            <a:rPr lang="pt-BR" sz="1100" b="0" baseline="0">
              <a:solidFill>
                <a:schemeClr val="bg1"/>
              </a:solidFill>
              <a:effectLst/>
              <a:latin typeface="+mn-lt"/>
              <a:ea typeface="+mn-ea"/>
              <a:cs typeface="+mn-cs"/>
            </a:rPr>
            <a:t> de uma solução que permite o RCA (representante comercial autônomo)  enviar um orçamento web para o cliente através de mensageiros como o whatsapp, afim dele conseguir realizar o pedido de forma digital e devolver para o RCA.</a:t>
          </a:r>
          <a:endParaRPr lang="pt-BR" sz="1100">
            <a:solidFill>
              <a:schemeClr val="bg1"/>
            </a:solidFill>
          </a:endParaRPr>
        </a:p>
      </xdr:txBody>
    </xdr:sp>
    <xdr:clientData/>
  </xdr:twoCellAnchor>
  <xdr:twoCellAnchor>
    <xdr:from>
      <xdr:col>6</xdr:col>
      <xdr:colOff>228600</xdr:colOff>
      <xdr:row>48</xdr:row>
      <xdr:rowOff>171450</xdr:rowOff>
    </xdr:from>
    <xdr:to>
      <xdr:col>14</xdr:col>
      <xdr:colOff>809625</xdr:colOff>
      <xdr:row>51</xdr:row>
      <xdr:rowOff>76200</xdr:rowOff>
    </xdr:to>
    <xdr:sp macro="" textlink="">
      <xdr:nvSpPr>
        <xdr:cNvPr id="26" name="CaixaDeTexto 25">
          <a:extLst>
            <a:ext uri="{FF2B5EF4-FFF2-40B4-BE49-F238E27FC236}">
              <a16:creationId xmlns:a16="http://schemas.microsoft.com/office/drawing/2014/main" id="{F288E5A3-B218-4D61-980E-0B46CD188EE3}"/>
            </a:ext>
          </a:extLst>
        </xdr:cNvPr>
        <xdr:cNvSpPr txBox="1"/>
      </xdr:nvSpPr>
      <xdr:spPr>
        <a:xfrm>
          <a:off x="13401675" y="24822150"/>
          <a:ext cx="9610725" cy="47625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a:solidFill>
                <a:schemeClr val="bg1"/>
              </a:solidFill>
              <a:effectLst/>
              <a:latin typeface="+mn-lt"/>
              <a:ea typeface="+mn-ea"/>
              <a:cs typeface="+mn-cs"/>
            </a:rPr>
            <a:t>AGENDA/ ROTEIRO VISITA: </a:t>
          </a:r>
          <a:r>
            <a:rPr lang="pt-BR" sz="1100" b="0">
              <a:solidFill>
                <a:schemeClr val="bg1"/>
              </a:solidFill>
              <a:effectLst/>
              <a:latin typeface="+mn-lt"/>
              <a:ea typeface="+mn-ea"/>
              <a:cs typeface="+mn-cs"/>
            </a:rPr>
            <a:t>tarata-se</a:t>
          </a:r>
          <a:r>
            <a:rPr lang="pt-BR" sz="1100" b="0" baseline="0">
              <a:solidFill>
                <a:schemeClr val="bg1"/>
              </a:solidFill>
              <a:effectLst/>
              <a:latin typeface="+mn-lt"/>
              <a:ea typeface="+mn-ea"/>
              <a:cs typeface="+mn-cs"/>
            </a:rPr>
            <a:t> de uma solução que permite o RCA (representante comercial autônomo)  oraganizar as suas visitas através de uma agenda.</a:t>
          </a:r>
          <a:endParaRPr lang="pt-BR" sz="1100">
            <a:solidFill>
              <a:schemeClr val="bg1"/>
            </a:solidFill>
          </a:endParaRPr>
        </a:p>
      </xdr:txBody>
    </xdr:sp>
    <xdr:clientData/>
  </xdr:twoCellAnchor>
  <xdr:twoCellAnchor>
    <xdr:from>
      <xdr:col>0</xdr:col>
      <xdr:colOff>57150</xdr:colOff>
      <xdr:row>52</xdr:row>
      <xdr:rowOff>28575</xdr:rowOff>
    </xdr:from>
    <xdr:to>
      <xdr:col>6</xdr:col>
      <xdr:colOff>57150</xdr:colOff>
      <xdr:row>54</xdr:row>
      <xdr:rowOff>123825</xdr:rowOff>
    </xdr:to>
    <xdr:sp macro="" textlink="">
      <xdr:nvSpPr>
        <xdr:cNvPr id="27" name="CaixaDeTexto 26">
          <a:extLst>
            <a:ext uri="{FF2B5EF4-FFF2-40B4-BE49-F238E27FC236}">
              <a16:creationId xmlns:a16="http://schemas.microsoft.com/office/drawing/2014/main" id="{EB385798-BF9F-473C-9708-D36A8DDDAABA}"/>
            </a:ext>
          </a:extLst>
        </xdr:cNvPr>
        <xdr:cNvSpPr txBox="1"/>
      </xdr:nvSpPr>
      <xdr:spPr>
        <a:xfrm>
          <a:off x="57150" y="25441275"/>
          <a:ext cx="13173075" cy="47625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a:solidFill>
                <a:schemeClr val="bg1"/>
              </a:solidFill>
              <a:effectLst/>
              <a:latin typeface="+mn-lt"/>
              <a:ea typeface="+mn-ea"/>
              <a:cs typeface="+mn-cs"/>
            </a:rPr>
            <a:t>IARA: </a:t>
          </a:r>
          <a:r>
            <a:rPr lang="pt-BR" sz="1100" b="0">
              <a:solidFill>
                <a:schemeClr val="bg1"/>
              </a:solidFill>
              <a:effectLst/>
              <a:latin typeface="+mn-lt"/>
              <a:ea typeface="+mn-ea"/>
              <a:cs typeface="+mn-cs"/>
            </a:rPr>
            <a:t>assistente</a:t>
          </a:r>
          <a:r>
            <a:rPr lang="pt-BR" sz="1100" b="0" baseline="0">
              <a:solidFill>
                <a:schemeClr val="bg1"/>
              </a:solidFill>
              <a:effectLst/>
              <a:latin typeface="+mn-lt"/>
              <a:ea typeface="+mn-ea"/>
              <a:cs typeface="+mn-cs"/>
            </a:rPr>
            <a:t> virtual que auxilia o RCA (representante comercial autônomo)  a vender mais. Ela consegue realizar sugestões de vendas considerando váriaveis como produtos em lançamento, promoção e mais comprados na região.</a:t>
          </a:r>
          <a:endParaRPr lang="pt-BR" sz="1100">
            <a:solidFill>
              <a:schemeClr val="bg1"/>
            </a:solidFill>
          </a:endParaRPr>
        </a:p>
      </xdr:txBody>
    </xdr:sp>
    <xdr:clientData/>
  </xdr:twoCellAnchor>
  <xdr:twoCellAnchor>
    <xdr:from>
      <xdr:col>6</xdr:col>
      <xdr:colOff>238125</xdr:colOff>
      <xdr:row>52</xdr:row>
      <xdr:rowOff>19050</xdr:rowOff>
    </xdr:from>
    <xdr:to>
      <xdr:col>14</xdr:col>
      <xdr:colOff>819150</xdr:colOff>
      <xdr:row>54</xdr:row>
      <xdr:rowOff>114300</xdr:rowOff>
    </xdr:to>
    <xdr:sp macro="" textlink="">
      <xdr:nvSpPr>
        <xdr:cNvPr id="28" name="CaixaDeTexto 27">
          <a:extLst>
            <a:ext uri="{FF2B5EF4-FFF2-40B4-BE49-F238E27FC236}">
              <a16:creationId xmlns:a16="http://schemas.microsoft.com/office/drawing/2014/main" id="{48CBF78B-6716-4AEA-A10D-6DB97E82D634}"/>
            </a:ext>
          </a:extLst>
        </xdr:cNvPr>
        <xdr:cNvSpPr txBox="1"/>
      </xdr:nvSpPr>
      <xdr:spPr>
        <a:xfrm>
          <a:off x="13411200" y="25431750"/>
          <a:ext cx="9610725" cy="47625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a:solidFill>
                <a:schemeClr val="bg1"/>
              </a:solidFill>
              <a:effectLst/>
              <a:latin typeface="+mn-lt"/>
              <a:ea typeface="+mn-ea"/>
              <a:cs typeface="+mn-cs"/>
            </a:rPr>
            <a:t>MULTILOJAS: </a:t>
          </a:r>
          <a:r>
            <a:rPr lang="pt-BR" sz="1100" b="0">
              <a:solidFill>
                <a:schemeClr val="bg1"/>
              </a:solidFill>
              <a:effectLst/>
              <a:latin typeface="+mn-lt"/>
              <a:ea typeface="+mn-ea"/>
              <a:cs typeface="+mn-cs"/>
            </a:rPr>
            <a:t>solução</a:t>
          </a:r>
          <a:r>
            <a:rPr lang="pt-BR" sz="1100" b="0" baseline="0">
              <a:solidFill>
                <a:schemeClr val="bg1"/>
              </a:solidFill>
              <a:effectLst/>
              <a:latin typeface="+mn-lt"/>
              <a:ea typeface="+mn-ea"/>
              <a:cs typeface="+mn-cs"/>
            </a:rPr>
            <a:t> que permite o RCA (representante comercial autônomo) realizar um pedido para redes de lojas, ou seja, ele consegue inserir o mesmo produto para várias lojas as mesmo tempo, facilitando a digitação e gerando agilidade no momento do pedido.</a:t>
          </a:r>
          <a:endParaRPr lang="pt-BR" sz="1100">
            <a:solidFill>
              <a:schemeClr val="bg1"/>
            </a:solidFill>
          </a:endParaRPr>
        </a:p>
      </xdr:txBody>
    </xdr:sp>
    <xdr:clientData/>
  </xdr:twoCellAnchor>
  <xdr:twoCellAnchor>
    <xdr:from>
      <xdr:col>0</xdr:col>
      <xdr:colOff>66675</xdr:colOff>
      <xdr:row>55</xdr:row>
      <xdr:rowOff>0</xdr:rowOff>
    </xdr:from>
    <xdr:to>
      <xdr:col>6</xdr:col>
      <xdr:colOff>66675</xdr:colOff>
      <xdr:row>57</xdr:row>
      <xdr:rowOff>95250</xdr:rowOff>
    </xdr:to>
    <xdr:sp macro="" textlink="">
      <xdr:nvSpPr>
        <xdr:cNvPr id="29" name="CaixaDeTexto 28">
          <a:extLst>
            <a:ext uri="{FF2B5EF4-FFF2-40B4-BE49-F238E27FC236}">
              <a16:creationId xmlns:a16="http://schemas.microsoft.com/office/drawing/2014/main" id="{53DB92D7-DF80-41C2-B69D-7B9841F23EB0}"/>
            </a:ext>
          </a:extLst>
        </xdr:cNvPr>
        <xdr:cNvSpPr txBox="1"/>
      </xdr:nvSpPr>
      <xdr:spPr>
        <a:xfrm>
          <a:off x="66675" y="25984200"/>
          <a:ext cx="13173075" cy="476250"/>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a:solidFill>
                <a:schemeClr val="bg1"/>
              </a:solidFill>
              <a:effectLst/>
              <a:latin typeface="+mn-lt"/>
              <a:ea typeface="+mn-ea"/>
              <a:cs typeface="+mn-cs"/>
            </a:rPr>
            <a:t>LOJA B2B: </a:t>
          </a:r>
          <a:r>
            <a:rPr lang="pt-BR" sz="1100" b="0">
              <a:solidFill>
                <a:schemeClr val="bg1"/>
              </a:solidFill>
              <a:effectLst/>
              <a:latin typeface="+mn-lt"/>
              <a:ea typeface="+mn-ea"/>
              <a:cs typeface="+mn-cs"/>
            </a:rPr>
            <a:t>solução</a:t>
          </a:r>
          <a:r>
            <a:rPr lang="pt-BR" sz="1100" b="0" baseline="0">
              <a:solidFill>
                <a:schemeClr val="bg1"/>
              </a:solidFill>
              <a:effectLst/>
              <a:latin typeface="+mn-lt"/>
              <a:ea typeface="+mn-ea"/>
              <a:cs typeface="+mn-cs"/>
            </a:rPr>
            <a:t> que permite o RCA (representante comercial autônomo)  a gerar uma loja e-commerce dele com o cliente. Após ele envia o link ao cliente, que fará os pedidos através deste link. E o que é importante o cleinte vai obedecer todas as politicas comerciais da empresa.</a:t>
          </a:r>
          <a:endParaRPr lang="pt-BR" sz="1100">
            <a:solidFill>
              <a:schemeClr val="bg1"/>
            </a:solidFill>
          </a:endParaRPr>
        </a:p>
      </xdr:txBody>
    </xdr:sp>
    <xdr:clientData/>
  </xdr:twoCellAnchor>
  <xdr:twoCellAnchor>
    <xdr:from>
      <xdr:col>6</xdr:col>
      <xdr:colOff>238125</xdr:colOff>
      <xdr:row>55</xdr:row>
      <xdr:rowOff>9524</xdr:rowOff>
    </xdr:from>
    <xdr:to>
      <xdr:col>14</xdr:col>
      <xdr:colOff>819150</xdr:colOff>
      <xdr:row>58</xdr:row>
      <xdr:rowOff>190499</xdr:rowOff>
    </xdr:to>
    <xdr:sp macro="" textlink="">
      <xdr:nvSpPr>
        <xdr:cNvPr id="30" name="CaixaDeTexto 29">
          <a:extLst>
            <a:ext uri="{FF2B5EF4-FFF2-40B4-BE49-F238E27FC236}">
              <a16:creationId xmlns:a16="http://schemas.microsoft.com/office/drawing/2014/main" id="{B9F135D9-F493-4630-A07A-ADDA3FCCC3A8}"/>
            </a:ext>
          </a:extLst>
        </xdr:cNvPr>
        <xdr:cNvSpPr txBox="1"/>
      </xdr:nvSpPr>
      <xdr:spPr>
        <a:xfrm>
          <a:off x="13411200" y="25993724"/>
          <a:ext cx="9610725" cy="752475"/>
        </a:xfrm>
        <a:prstGeom prst="rect">
          <a:avLst/>
        </a:prstGeom>
        <a:solidFill>
          <a:schemeClr val="bg1">
            <a:lumMod val="65000"/>
          </a:schemeClr>
        </a:solidFill>
        <a:ln w="9525" cmpd="sng">
          <a:solidFill>
            <a:srgbClr val="00B05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a:solidFill>
                <a:schemeClr val="bg1"/>
              </a:solidFill>
              <a:effectLst/>
              <a:latin typeface="+mn-lt"/>
              <a:ea typeface="+mn-ea"/>
              <a:cs typeface="+mn-cs"/>
            </a:rPr>
            <a:t>PROPOSTA WEB: </a:t>
          </a:r>
          <a:r>
            <a:rPr lang="pt-BR" sz="1100" b="0">
              <a:solidFill>
                <a:schemeClr val="bg1"/>
              </a:solidFill>
              <a:effectLst/>
              <a:latin typeface="+mn-lt"/>
              <a:ea typeface="+mn-ea"/>
              <a:cs typeface="+mn-cs"/>
            </a:rPr>
            <a:t>solução</a:t>
          </a:r>
          <a:r>
            <a:rPr lang="pt-BR" sz="1100" b="0" baseline="0">
              <a:solidFill>
                <a:schemeClr val="bg1"/>
              </a:solidFill>
              <a:effectLst/>
              <a:latin typeface="+mn-lt"/>
              <a:ea typeface="+mn-ea"/>
              <a:cs typeface="+mn-cs"/>
            </a:rPr>
            <a:t> que permite o RCA (representante comercial autônomo)  realizar negociações entre Cliente x RCA x Supervisor, ou seja, se o cliente quer um desconto e o RCA não possui, ele pode submeter o pedido ao supervisor de forma digital para pegar aprovação ou negativa através da proposta web.</a:t>
          </a:r>
          <a:endParaRPr lang="pt-BR" sz="11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177165</xdr:colOff>
      <xdr:row>0</xdr:row>
      <xdr:rowOff>91440</xdr:rowOff>
    </xdr:from>
    <xdr:to>
      <xdr:col>9</xdr:col>
      <xdr:colOff>209550</xdr:colOff>
      <xdr:row>42</xdr:row>
      <xdr:rowOff>40005</xdr:rowOff>
    </xdr:to>
    <xdr:sp macro="" textlink="">
      <xdr:nvSpPr>
        <xdr:cNvPr id="2" name="CaixaDeTexto 1">
          <a:extLst>
            <a:ext uri="{FF2B5EF4-FFF2-40B4-BE49-F238E27FC236}">
              <a16:creationId xmlns:a16="http://schemas.microsoft.com/office/drawing/2014/main" id="{75E738A2-51A1-21A4-1022-DF15B070C53A}"/>
            </a:ext>
          </a:extLst>
        </xdr:cNvPr>
        <xdr:cNvSpPr txBox="1"/>
      </xdr:nvSpPr>
      <xdr:spPr>
        <a:xfrm>
          <a:off x="177165" y="91440"/>
          <a:ext cx="10262235" cy="7635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dk1"/>
              </a:solidFill>
              <a:effectLst/>
              <a:latin typeface="+mn-lt"/>
              <a:ea typeface="+mn-ea"/>
              <a:cs typeface="+mn-cs"/>
            </a:rPr>
            <a:t>🎯 Gatilhos de Início de Cobrança por Produto – Comercial Guarani</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Essa diretriz define </a:t>
          </a:r>
          <a:r>
            <a:rPr lang="pt-BR" sz="1100" b="1">
              <a:solidFill>
                <a:schemeClr val="dk1"/>
              </a:solidFill>
              <a:effectLst/>
              <a:latin typeface="+mn-lt"/>
              <a:ea typeface="+mn-ea"/>
              <a:cs typeface="+mn-cs"/>
            </a:rPr>
            <a:t>como deve ocorrer a cobrança da mensalidade após a assinatura de contrato</a:t>
          </a:r>
          <a:r>
            <a:rPr lang="pt-BR" sz="1100">
              <a:solidFill>
                <a:schemeClr val="dk1"/>
              </a:solidFill>
              <a:effectLst/>
              <a:latin typeface="+mn-lt"/>
              <a:ea typeface="+mn-ea"/>
              <a:cs typeface="+mn-cs"/>
            </a:rPr>
            <a:t>, conforme o tipo de produto ou serviço contratado.</a:t>
          </a:r>
        </a:p>
        <a:p>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 Produtos Principais</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Produto</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Gatilho de Cobrança</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Guarani ERP</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Na </a:t>
          </a:r>
          <a:r>
            <a:rPr lang="pt-BR" sz="1100" b="1">
              <a:solidFill>
                <a:schemeClr val="dk1"/>
              </a:solidFill>
              <a:effectLst/>
              <a:latin typeface="+mn-lt"/>
              <a:ea typeface="+mn-ea"/>
              <a:cs typeface="+mn-cs"/>
            </a:rPr>
            <a:t>assinatura do contrato</a:t>
          </a:r>
          <a:r>
            <a:rPr lang="pt-BR" sz="1100">
              <a:solidFill>
                <a:schemeClr val="dk1"/>
              </a:solidFill>
              <a:effectLst/>
              <a:latin typeface="+mn-lt"/>
              <a:ea typeface="+mn-ea"/>
              <a:cs typeface="+mn-cs"/>
            </a:rPr>
            <a:t>, inicia-se com </a:t>
          </a:r>
          <a:r>
            <a:rPr lang="pt-BR" sz="1100" b="1">
              <a:solidFill>
                <a:schemeClr val="dk1"/>
              </a:solidFill>
              <a:effectLst/>
              <a:latin typeface="+mn-lt"/>
              <a:ea typeface="+mn-ea"/>
              <a:cs typeface="+mn-cs"/>
            </a:rPr>
            <a:t>1 usuário sendo cobrado</a:t>
          </a:r>
          <a:r>
            <a:rPr lang="pt-BR" sz="1100">
              <a:solidFill>
                <a:schemeClr val="dk1"/>
              </a:solidFill>
              <a:effectLst/>
              <a:latin typeface="+mn-lt"/>
              <a:ea typeface="+mn-ea"/>
              <a:cs typeface="+mn-cs"/>
            </a:rPr>
            <a:t>. Após a entrada em </a:t>
          </a:r>
          <a:r>
            <a:rPr lang="pt-BR" sz="1100" b="1">
              <a:solidFill>
                <a:schemeClr val="dk1"/>
              </a:solidFill>
              <a:effectLst/>
              <a:latin typeface="+mn-lt"/>
              <a:ea typeface="+mn-ea"/>
              <a:cs typeface="+mn-cs"/>
            </a:rPr>
            <a:t>produção</a:t>
          </a:r>
          <a:r>
            <a:rPr lang="pt-BR" sz="1100">
              <a:solidFill>
                <a:schemeClr val="dk1"/>
              </a:solidFill>
              <a:effectLst/>
              <a:latin typeface="+mn-lt"/>
              <a:ea typeface="+mn-ea"/>
              <a:cs typeface="+mn-cs"/>
            </a:rPr>
            <a:t>, aplica-se o valor </a:t>
          </a:r>
          <a:r>
            <a:rPr lang="pt-BR" sz="1100" b="1">
              <a:solidFill>
                <a:schemeClr val="dk1"/>
              </a:solidFill>
              <a:effectLst/>
              <a:latin typeface="+mn-lt"/>
              <a:ea typeface="+mn-ea"/>
              <a:cs typeface="+mn-cs"/>
            </a:rPr>
            <a:t>integral da mensalidade</a:t>
          </a:r>
          <a:r>
            <a:rPr lang="pt-BR" sz="1100">
              <a:solidFill>
                <a:schemeClr val="dk1"/>
              </a:solidFill>
              <a:effectLst/>
              <a:latin typeface="+mn-lt"/>
              <a:ea typeface="+mn-ea"/>
              <a:cs typeface="+mn-cs"/>
            </a:rPr>
            <a:t>.</a:t>
          </a:r>
        </a:p>
        <a:p>
          <a:r>
            <a:rPr lang="pt-BR" sz="1100" b="1">
              <a:solidFill>
                <a:schemeClr val="dk1"/>
              </a:solidFill>
              <a:effectLst/>
              <a:latin typeface="+mn-lt"/>
              <a:ea typeface="+mn-ea"/>
              <a:cs typeface="+mn-cs"/>
            </a:rPr>
            <a:t>Guarani AFV</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Mesmo critério do ERP. Inicia com </a:t>
          </a:r>
          <a:r>
            <a:rPr lang="pt-BR" sz="1100" b="1">
              <a:solidFill>
                <a:schemeClr val="dk1"/>
              </a:solidFill>
              <a:effectLst/>
              <a:latin typeface="+mn-lt"/>
              <a:ea typeface="+mn-ea"/>
              <a:cs typeface="+mn-cs"/>
            </a:rPr>
            <a:t>1 usuário cobrado</a:t>
          </a:r>
          <a:r>
            <a:rPr lang="pt-BR" sz="1100">
              <a:solidFill>
                <a:schemeClr val="dk1"/>
              </a:solidFill>
              <a:effectLst/>
              <a:latin typeface="+mn-lt"/>
              <a:ea typeface="+mn-ea"/>
              <a:cs typeface="+mn-cs"/>
            </a:rPr>
            <a:t> e valor integral após produção.</a:t>
          </a:r>
        </a:p>
        <a:p>
          <a:r>
            <a:rPr lang="pt-BR" sz="1100" b="1">
              <a:solidFill>
                <a:schemeClr val="dk1"/>
              </a:solidFill>
              <a:effectLst/>
              <a:latin typeface="+mn-lt"/>
              <a:ea typeface="+mn-ea"/>
              <a:cs typeface="+mn-cs"/>
            </a:rPr>
            <a:t>Guarani WMS</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Mesmo critério do ERP. Inicia com </a:t>
          </a:r>
          <a:r>
            <a:rPr lang="pt-BR" sz="1100" b="1">
              <a:solidFill>
                <a:schemeClr val="dk1"/>
              </a:solidFill>
              <a:effectLst/>
              <a:latin typeface="+mn-lt"/>
              <a:ea typeface="+mn-ea"/>
              <a:cs typeface="+mn-cs"/>
            </a:rPr>
            <a:t>1 usuário cobrado</a:t>
          </a:r>
          <a:r>
            <a:rPr lang="pt-BR" sz="1100">
              <a:solidFill>
                <a:schemeClr val="dk1"/>
              </a:solidFill>
              <a:effectLst/>
              <a:latin typeface="+mn-lt"/>
              <a:ea typeface="+mn-ea"/>
              <a:cs typeface="+mn-cs"/>
            </a:rPr>
            <a:t> e valor integral após produção.</a:t>
          </a:r>
        </a:p>
        <a:p>
          <a:r>
            <a:rPr lang="pt-BR" sz="1100">
              <a:solidFill>
                <a:schemeClr val="dk1"/>
              </a:solidFill>
              <a:effectLst/>
              <a:latin typeface="+mn-lt"/>
              <a:ea typeface="+mn-ea"/>
              <a:cs typeface="+mn-cs"/>
            </a:rPr>
            <a:t>🔹 </a:t>
          </a:r>
          <a:r>
            <a:rPr lang="pt-BR" sz="1100" b="1">
              <a:solidFill>
                <a:schemeClr val="dk1"/>
              </a:solidFill>
              <a:effectLst/>
              <a:latin typeface="+mn-lt"/>
              <a:ea typeface="+mn-ea"/>
              <a:cs typeface="+mn-cs"/>
            </a:rPr>
            <a:t>Importante</a:t>
          </a:r>
          <a:r>
            <a:rPr lang="pt-BR" sz="1100">
              <a:solidFill>
                <a:schemeClr val="dk1"/>
              </a:solidFill>
              <a:effectLst/>
              <a:latin typeface="+mn-lt"/>
              <a:ea typeface="+mn-ea"/>
              <a:cs typeface="+mn-cs"/>
            </a:rPr>
            <a:t>: Se, </a:t>
          </a:r>
          <a:r>
            <a:rPr lang="pt-BR" sz="1100" b="1">
              <a:solidFill>
                <a:schemeClr val="dk1"/>
              </a:solidFill>
              <a:effectLst/>
              <a:latin typeface="+mn-lt"/>
              <a:ea typeface="+mn-ea"/>
              <a:cs typeface="+mn-cs"/>
            </a:rPr>
            <a:t>durante a negociação</a:t>
          </a:r>
          <a:r>
            <a:rPr lang="pt-BR" sz="1100">
              <a:solidFill>
                <a:schemeClr val="dk1"/>
              </a:solidFill>
              <a:effectLst/>
              <a:latin typeface="+mn-lt"/>
              <a:ea typeface="+mn-ea"/>
              <a:cs typeface="+mn-cs"/>
            </a:rPr>
            <a:t>, o cliente desejar iniciar com </a:t>
          </a:r>
          <a:r>
            <a:rPr lang="pt-BR" sz="1100" b="1">
              <a:solidFill>
                <a:schemeClr val="dk1"/>
              </a:solidFill>
              <a:effectLst/>
              <a:latin typeface="+mn-lt"/>
              <a:ea typeface="+mn-ea"/>
              <a:cs typeface="+mn-cs"/>
            </a:rPr>
            <a:t>mais de 1 usuário</a:t>
          </a:r>
          <a:r>
            <a:rPr lang="pt-BR" sz="1100">
              <a:solidFill>
                <a:schemeClr val="dk1"/>
              </a:solidFill>
              <a:effectLst/>
              <a:latin typeface="+mn-lt"/>
              <a:ea typeface="+mn-ea"/>
              <a:cs typeface="+mn-cs"/>
            </a:rPr>
            <a:t>, isso é permitido. Basta registrar e iniciar a cobrança pela quantidade combinada.</a:t>
          </a:r>
        </a:p>
        <a:p>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 Produtos Adicionais</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Produto</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Gatilho de Cobrança</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Adicionais Diretos ERP</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Início com </a:t>
          </a:r>
          <a:r>
            <a:rPr lang="pt-BR" sz="1100" b="1">
              <a:solidFill>
                <a:schemeClr val="dk1"/>
              </a:solidFill>
              <a:effectLst/>
              <a:latin typeface="+mn-lt"/>
              <a:ea typeface="+mn-ea"/>
              <a:cs typeface="+mn-cs"/>
            </a:rPr>
            <a:t>25% da mensalidade</a:t>
          </a:r>
          <a:r>
            <a:rPr lang="pt-BR" sz="1100">
              <a:solidFill>
                <a:schemeClr val="dk1"/>
              </a:solidFill>
              <a:effectLst/>
              <a:latin typeface="+mn-lt"/>
              <a:ea typeface="+mn-ea"/>
              <a:cs typeface="+mn-cs"/>
            </a:rPr>
            <a:t> na assinatura do contrato. Valor integral após entrada em produção.</a:t>
          </a:r>
        </a:p>
        <a:p>
          <a:r>
            <a:rPr lang="pt-BR" sz="1100" b="1">
              <a:solidFill>
                <a:schemeClr val="dk1"/>
              </a:solidFill>
              <a:effectLst/>
              <a:latin typeface="+mn-lt"/>
              <a:ea typeface="+mn-ea"/>
              <a:cs typeface="+mn-cs"/>
            </a:rPr>
            <a:t>Adicionais Indiretos</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Mesmo critério: </a:t>
          </a:r>
          <a:r>
            <a:rPr lang="pt-BR" sz="1100" b="1">
              <a:solidFill>
                <a:schemeClr val="dk1"/>
              </a:solidFill>
              <a:effectLst/>
              <a:latin typeface="+mn-lt"/>
              <a:ea typeface="+mn-ea"/>
              <a:cs typeface="+mn-cs"/>
            </a:rPr>
            <a:t>25% da mensalidade</a:t>
          </a:r>
          <a:r>
            <a:rPr lang="pt-BR" sz="1100">
              <a:solidFill>
                <a:schemeClr val="dk1"/>
              </a:solidFill>
              <a:effectLst/>
              <a:latin typeface="+mn-lt"/>
              <a:ea typeface="+mn-ea"/>
              <a:cs typeface="+mn-cs"/>
            </a:rPr>
            <a:t> na assinatura; integral após produção.</a:t>
          </a:r>
        </a:p>
        <a:p>
          <a:r>
            <a:rPr lang="pt-BR" sz="1100" b="1">
              <a:solidFill>
                <a:schemeClr val="dk1"/>
              </a:solidFill>
              <a:effectLst/>
              <a:latin typeface="+mn-lt"/>
              <a:ea typeface="+mn-ea"/>
              <a:cs typeface="+mn-cs"/>
            </a:rPr>
            <a:t>Guarani B2B</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Início com </a:t>
          </a:r>
          <a:r>
            <a:rPr lang="pt-BR" sz="1100" b="1">
              <a:solidFill>
                <a:schemeClr val="dk1"/>
              </a:solidFill>
              <a:effectLst/>
              <a:latin typeface="+mn-lt"/>
              <a:ea typeface="+mn-ea"/>
              <a:cs typeface="+mn-cs"/>
            </a:rPr>
            <a:t>25% da mensalidade</a:t>
          </a:r>
          <a:r>
            <a:rPr lang="pt-BR" sz="1100">
              <a:solidFill>
                <a:schemeClr val="dk1"/>
              </a:solidFill>
              <a:effectLst/>
              <a:latin typeface="+mn-lt"/>
              <a:ea typeface="+mn-ea"/>
              <a:cs typeface="+mn-cs"/>
            </a:rPr>
            <a:t> na assinatura; integral após produção.</a:t>
          </a:r>
        </a:p>
        <a:p>
          <a:r>
            <a:rPr lang="pt-BR" sz="1100" b="1">
              <a:solidFill>
                <a:schemeClr val="dk1"/>
              </a:solidFill>
              <a:effectLst/>
              <a:latin typeface="+mn-lt"/>
              <a:ea typeface="+mn-ea"/>
              <a:cs typeface="+mn-cs"/>
            </a:rPr>
            <a:t>Guarani BI</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Início com </a:t>
          </a:r>
          <a:r>
            <a:rPr lang="pt-BR" sz="1100" b="1">
              <a:solidFill>
                <a:schemeClr val="dk1"/>
              </a:solidFill>
              <a:effectLst/>
              <a:latin typeface="+mn-lt"/>
              <a:ea typeface="+mn-ea"/>
              <a:cs typeface="+mn-cs"/>
            </a:rPr>
            <a:t>25% da mensalidade</a:t>
          </a:r>
          <a:r>
            <a:rPr lang="pt-BR" sz="1100">
              <a:solidFill>
                <a:schemeClr val="dk1"/>
              </a:solidFill>
              <a:effectLst/>
              <a:latin typeface="+mn-lt"/>
              <a:ea typeface="+mn-ea"/>
              <a:cs typeface="+mn-cs"/>
            </a:rPr>
            <a:t> na assinatura; integral após produção.</a:t>
          </a:r>
        </a:p>
        <a:p>
          <a:r>
            <a:rPr lang="pt-BR" sz="1100">
              <a:solidFill>
                <a:schemeClr val="dk1"/>
              </a:solidFill>
              <a:effectLst/>
              <a:latin typeface="+mn-lt"/>
              <a:ea typeface="+mn-ea"/>
              <a:cs typeface="+mn-cs"/>
            </a:rPr>
            <a:t>🔸 </a:t>
          </a:r>
          <a:r>
            <a:rPr lang="pt-BR" sz="1100" b="1">
              <a:solidFill>
                <a:schemeClr val="dk1"/>
              </a:solidFill>
              <a:effectLst/>
              <a:latin typeface="+mn-lt"/>
              <a:ea typeface="+mn-ea"/>
              <a:cs typeface="+mn-cs"/>
            </a:rPr>
            <a:t>Exceção para clientes da base</a:t>
          </a:r>
          <a:r>
            <a:rPr lang="pt-BR" sz="1100">
              <a:solidFill>
                <a:schemeClr val="dk1"/>
              </a:solidFill>
              <a:effectLst/>
              <a:latin typeface="+mn-lt"/>
              <a:ea typeface="+mn-ea"/>
              <a:cs typeface="+mn-cs"/>
            </a:rPr>
            <a:t>:</a:t>
          </a:r>
          <a:br>
            <a:rPr lang="pt-BR" sz="1100">
              <a:solidFill>
                <a:schemeClr val="dk1"/>
              </a:solidFill>
              <a:effectLst/>
              <a:latin typeface="+mn-lt"/>
              <a:ea typeface="+mn-ea"/>
              <a:cs typeface="+mn-cs"/>
            </a:rPr>
          </a:br>
          <a:r>
            <a:rPr lang="pt-BR" sz="1100">
              <a:solidFill>
                <a:schemeClr val="dk1"/>
              </a:solidFill>
              <a:effectLst/>
              <a:latin typeface="+mn-lt"/>
              <a:ea typeface="+mn-ea"/>
              <a:cs typeface="+mn-cs"/>
            </a:rPr>
            <a:t>Se o cliente </a:t>
          </a:r>
          <a:r>
            <a:rPr lang="pt-BR" sz="1100" b="1">
              <a:solidFill>
                <a:schemeClr val="dk1"/>
              </a:solidFill>
              <a:effectLst/>
              <a:latin typeface="+mn-lt"/>
              <a:ea typeface="+mn-ea"/>
              <a:cs typeface="+mn-cs"/>
            </a:rPr>
            <a:t>já utiliza o ERP</a:t>
          </a:r>
          <a:r>
            <a:rPr lang="pt-BR" sz="1100">
              <a:solidFill>
                <a:schemeClr val="dk1"/>
              </a:solidFill>
              <a:effectLst/>
              <a:latin typeface="+mn-lt"/>
              <a:ea typeface="+mn-ea"/>
              <a:cs typeface="+mn-cs"/>
            </a:rPr>
            <a:t> e for adicionar </a:t>
          </a:r>
          <a:r>
            <a:rPr lang="pt-BR" sz="1100" b="1">
              <a:solidFill>
                <a:schemeClr val="dk1"/>
              </a:solidFill>
              <a:effectLst/>
              <a:latin typeface="+mn-lt"/>
              <a:ea typeface="+mn-ea"/>
              <a:cs typeface="+mn-cs"/>
            </a:rPr>
            <a:t>Adicionais Diretos</a:t>
          </a:r>
          <a:r>
            <a:rPr lang="pt-BR" sz="1100">
              <a:solidFill>
                <a:schemeClr val="dk1"/>
              </a:solidFill>
              <a:effectLst/>
              <a:latin typeface="+mn-lt"/>
              <a:ea typeface="+mn-ea"/>
              <a:cs typeface="+mn-cs"/>
            </a:rPr>
            <a:t>, a cobrança </a:t>
          </a:r>
          <a:r>
            <a:rPr lang="pt-BR" sz="1100" b="1">
              <a:solidFill>
                <a:schemeClr val="dk1"/>
              </a:solidFill>
              <a:effectLst/>
              <a:latin typeface="+mn-lt"/>
              <a:ea typeface="+mn-ea"/>
              <a:cs typeface="+mn-cs"/>
            </a:rPr>
            <a:t>inicia 30 dias após a assinatura do termo aditivo</a:t>
          </a:r>
          <a:r>
            <a:rPr lang="pt-BR" sz="1100">
              <a:solidFill>
                <a:schemeClr val="dk1"/>
              </a:solidFill>
              <a:effectLst/>
              <a:latin typeface="+mn-lt"/>
              <a:ea typeface="+mn-ea"/>
              <a:cs typeface="+mn-cs"/>
            </a:rPr>
            <a:t>, como já é hoje.</a:t>
          </a:r>
        </a:p>
        <a:p>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 Serviços por Hora (Horas Contratadas)</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Produto</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Gatilho de Cobrança</a:t>
          </a:r>
          <a:endParaRPr lang="pt-BR" sz="1100">
            <a:solidFill>
              <a:schemeClr val="dk1"/>
            </a:solidFill>
            <a:effectLst/>
            <a:latin typeface="+mn-lt"/>
            <a:ea typeface="+mn-ea"/>
            <a:cs typeface="+mn-cs"/>
          </a:endParaRPr>
        </a:p>
        <a:p>
          <a:r>
            <a:rPr lang="pt-BR" sz="1100" b="1">
              <a:solidFill>
                <a:schemeClr val="dk1"/>
              </a:solidFill>
              <a:effectLst/>
              <a:latin typeface="+mn-lt"/>
              <a:ea typeface="+mn-ea"/>
              <a:cs typeface="+mn-cs"/>
            </a:rPr>
            <a:t>Horas</a:t>
          </a:r>
          <a:endParaRPr lang="pt-BR" sz="1100">
            <a:solidFill>
              <a:schemeClr val="dk1"/>
            </a:solidFill>
            <a:effectLst/>
            <a:latin typeface="+mn-lt"/>
            <a:ea typeface="+mn-ea"/>
            <a:cs typeface="+mn-cs"/>
          </a:endParaRPr>
        </a:p>
        <a:p>
          <a:r>
            <a:rPr lang="pt-BR" sz="1100">
              <a:solidFill>
                <a:schemeClr val="dk1"/>
              </a:solidFill>
              <a:effectLst/>
              <a:latin typeface="+mn-lt"/>
              <a:ea typeface="+mn-ea"/>
              <a:cs typeface="+mn-cs"/>
            </a:rPr>
            <a:t>Conforme </a:t>
          </a:r>
          <a:r>
            <a:rPr lang="pt-BR" sz="1100" b="1">
              <a:solidFill>
                <a:schemeClr val="dk1"/>
              </a:solidFill>
              <a:effectLst/>
              <a:latin typeface="+mn-lt"/>
              <a:ea typeface="+mn-ea"/>
              <a:cs typeface="+mn-cs"/>
            </a:rPr>
            <a:t>condição de pagamento acordada</a:t>
          </a:r>
          <a:r>
            <a:rPr lang="pt-BR" sz="1100">
              <a:solidFill>
                <a:schemeClr val="dk1"/>
              </a:solidFill>
              <a:effectLst/>
              <a:latin typeface="+mn-lt"/>
              <a:ea typeface="+mn-ea"/>
              <a:cs typeface="+mn-cs"/>
            </a:rPr>
            <a:t> no contrato.</a:t>
          </a:r>
        </a:p>
        <a:p>
          <a:r>
            <a:rPr lang="pt-BR" sz="1100" b="1">
              <a:solidFill>
                <a:schemeClr val="dk1"/>
              </a:solidFill>
              <a:effectLst/>
              <a:latin typeface="+mn-lt"/>
              <a:ea typeface="+mn-ea"/>
              <a:cs typeface="+mn-cs"/>
            </a:rPr>
            <a:t>⚠️ Pontos de Atenção</a:t>
          </a:r>
          <a:endParaRPr lang="pt-BR" sz="1100">
            <a:solidFill>
              <a:schemeClr val="dk1"/>
            </a:solidFill>
            <a:effectLst/>
            <a:latin typeface="+mn-lt"/>
            <a:ea typeface="+mn-ea"/>
            <a:cs typeface="+mn-cs"/>
          </a:endParaRPr>
        </a:p>
        <a:p>
          <a:pPr lvl="0"/>
          <a:r>
            <a:rPr lang="pt-BR" sz="1100">
              <a:solidFill>
                <a:schemeClr val="dk1"/>
              </a:solidFill>
              <a:effectLst/>
              <a:latin typeface="+mn-lt"/>
              <a:ea typeface="+mn-ea"/>
              <a:cs typeface="+mn-cs"/>
            </a:rPr>
            <a:t>Sempre confirmar com o cliente se deseja iniciar com </a:t>
          </a:r>
          <a:r>
            <a:rPr lang="pt-BR" sz="1100" b="1">
              <a:solidFill>
                <a:schemeClr val="dk1"/>
              </a:solidFill>
              <a:effectLst/>
              <a:latin typeface="+mn-lt"/>
              <a:ea typeface="+mn-ea"/>
              <a:cs typeface="+mn-cs"/>
            </a:rPr>
            <a:t>mais de 1 usuário</a:t>
          </a:r>
          <a:r>
            <a:rPr lang="pt-BR" sz="1100">
              <a:solidFill>
                <a:schemeClr val="dk1"/>
              </a:solidFill>
              <a:effectLst/>
              <a:latin typeface="+mn-lt"/>
              <a:ea typeface="+mn-ea"/>
              <a:cs typeface="+mn-cs"/>
            </a:rPr>
            <a:t> de ERP, AFV ou WMS.</a:t>
          </a:r>
        </a:p>
        <a:p>
          <a:pPr lvl="0"/>
          <a:r>
            <a:rPr lang="pt-BR" sz="1100">
              <a:solidFill>
                <a:schemeClr val="dk1"/>
              </a:solidFill>
              <a:effectLst/>
              <a:latin typeface="+mn-lt"/>
              <a:ea typeface="+mn-ea"/>
              <a:cs typeface="+mn-cs"/>
            </a:rPr>
            <a:t>Registrar a quantidade correta na proposta e no contrato.</a:t>
          </a:r>
        </a:p>
        <a:p>
          <a:pPr lvl="0"/>
          <a:r>
            <a:rPr lang="pt-BR" sz="1100">
              <a:solidFill>
                <a:schemeClr val="dk1"/>
              </a:solidFill>
              <a:effectLst/>
              <a:latin typeface="+mn-lt"/>
              <a:ea typeface="+mn-ea"/>
              <a:cs typeface="+mn-cs"/>
            </a:rPr>
            <a:t>Garantir que o comercial </a:t>
          </a:r>
          <a:r>
            <a:rPr lang="pt-BR" sz="1100" b="1">
              <a:solidFill>
                <a:schemeClr val="dk1"/>
              </a:solidFill>
              <a:effectLst/>
              <a:latin typeface="+mn-lt"/>
              <a:ea typeface="+mn-ea"/>
              <a:cs typeface="+mn-cs"/>
            </a:rPr>
            <a:t>entenda o que caracteriza “entrada em produção”</a:t>
          </a:r>
          <a:r>
            <a:rPr lang="pt-BR" sz="1100">
              <a:solidFill>
                <a:schemeClr val="dk1"/>
              </a:solidFill>
              <a:effectLst/>
              <a:latin typeface="+mn-lt"/>
              <a:ea typeface="+mn-ea"/>
              <a:cs typeface="+mn-cs"/>
            </a:rPr>
            <a:t>, pois é o gatilho para o início da cobrança </a:t>
          </a:r>
          <a:r>
            <a:rPr lang="pt-BR" sz="1100" b="1">
              <a:solidFill>
                <a:schemeClr val="dk1"/>
              </a:solidFill>
              <a:effectLst/>
              <a:latin typeface="+mn-lt"/>
              <a:ea typeface="+mn-ea"/>
              <a:cs typeface="+mn-cs"/>
            </a:rPr>
            <a:t>cheia</a:t>
          </a:r>
          <a:r>
            <a:rPr lang="pt-BR" sz="1100">
              <a:solidFill>
                <a:schemeClr val="dk1"/>
              </a:solidFill>
              <a:effectLst/>
              <a:latin typeface="+mn-lt"/>
              <a:ea typeface="+mn-ea"/>
              <a:cs typeface="+mn-cs"/>
            </a:rPr>
            <a:t>.</a:t>
          </a:r>
        </a:p>
        <a:p>
          <a:pPr lvl="0"/>
          <a:r>
            <a:rPr lang="pt-BR" sz="1100" b="1">
              <a:solidFill>
                <a:schemeClr val="dk1"/>
              </a:solidFill>
              <a:effectLst/>
              <a:latin typeface="+mn-lt"/>
              <a:ea typeface="+mn-ea"/>
              <a:cs typeface="+mn-cs"/>
            </a:rPr>
            <a:t>Nunca assumir início gratuito</a:t>
          </a:r>
          <a:r>
            <a:rPr lang="pt-BR" sz="1100">
              <a:solidFill>
                <a:schemeClr val="dk1"/>
              </a:solidFill>
              <a:effectLst/>
              <a:latin typeface="+mn-lt"/>
              <a:ea typeface="+mn-ea"/>
              <a:cs typeface="+mn-cs"/>
            </a:rPr>
            <a:t> se não houver negociação formal registrada.</a:t>
          </a:r>
        </a:p>
        <a:p>
          <a:r>
            <a:rPr lang="pt-BR" sz="1100" b="1">
              <a:solidFill>
                <a:schemeClr val="dk1"/>
              </a:solidFill>
              <a:effectLst/>
              <a:latin typeface="+mn-lt"/>
              <a:ea typeface="+mn-ea"/>
              <a:cs typeface="+mn-cs"/>
            </a:rPr>
            <a:t>⚠️ Proposta </a:t>
          </a:r>
          <a:endParaRPr lang="pt-BR" sz="1100">
            <a:solidFill>
              <a:schemeClr val="dk1"/>
            </a:solidFill>
            <a:effectLst/>
            <a:latin typeface="+mn-lt"/>
            <a:ea typeface="+mn-ea"/>
            <a:cs typeface="+mn-cs"/>
          </a:endParaRPr>
        </a:p>
        <a:p>
          <a:pPr lvl="0"/>
          <a:r>
            <a:rPr lang="pt-BR" sz="1100">
              <a:solidFill>
                <a:schemeClr val="dk1"/>
              </a:solidFill>
              <a:effectLst/>
              <a:latin typeface="+mn-lt"/>
              <a:ea typeface="+mn-ea"/>
              <a:cs typeface="+mn-cs"/>
            </a:rPr>
            <a:t>Foi incluso na proposta a mensagem abaixo:</a:t>
          </a:r>
        </a:p>
        <a:p>
          <a:r>
            <a:rPr lang="pt-BR" sz="1100">
              <a:solidFill>
                <a:schemeClr val="dk1"/>
              </a:solidFill>
              <a:effectLst/>
              <a:latin typeface="+mn-lt"/>
              <a:ea typeface="+mn-ea"/>
              <a:cs typeface="+mn-cs"/>
            </a:rPr>
            <a:t>“A cobrança da mensalidade será iniciada com 1 (um) usuário ativo para os produtos ERP, AFV e WMS, e com 25% do valor da mensalidade para os demais produtos, a partir da assinatura do contrato. Essa etapa é necessária para fins de cadastro e testes de cenário. Com a entrada do sistema em produção, passa a valer o valor integral da mensalidade acordada."</a:t>
          </a:r>
        </a:p>
        <a:p>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3038476</xdr:colOff>
      <xdr:row>22</xdr:row>
      <xdr:rowOff>152401</xdr:rowOff>
    </xdr:from>
    <xdr:to>
      <xdr:col>12</xdr:col>
      <xdr:colOff>3438526</xdr:colOff>
      <xdr:row>24</xdr:row>
      <xdr:rowOff>95251</xdr:rowOff>
    </xdr:to>
    <xdr:sp macro="" textlink="">
      <xdr:nvSpPr>
        <xdr:cNvPr id="3" name="Sinal de Adição 2">
          <a:extLst>
            <a:ext uri="{FF2B5EF4-FFF2-40B4-BE49-F238E27FC236}">
              <a16:creationId xmlns:a16="http://schemas.microsoft.com/office/drawing/2014/main" id="{CA04D5C2-C44B-4853-A8CF-64E6A7D99449}"/>
            </a:ext>
          </a:extLst>
        </xdr:cNvPr>
        <xdr:cNvSpPr/>
      </xdr:nvSpPr>
      <xdr:spPr>
        <a:xfrm>
          <a:off x="14668501" y="4400551"/>
          <a:ext cx="400050" cy="32385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znia.solution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28FD7-0BB6-4D04-A251-52F56089D162}">
  <sheetPr>
    <pageSetUpPr fitToPage="1"/>
  </sheetPr>
  <dimension ref="A1:H86"/>
  <sheetViews>
    <sheetView showGridLines="0" tabSelected="1" topLeftCell="B62" zoomScale="80" zoomScaleNormal="80" workbookViewId="0">
      <selection activeCell="D14" sqref="D14"/>
    </sheetView>
  </sheetViews>
  <sheetFormatPr defaultColWidth="9.109375" defaultRowHeight="14.4" x14ac:dyDescent="0.3"/>
  <cols>
    <col min="1" max="1" width="9.109375" style="115"/>
    <col min="2" max="2" width="55.33203125" style="115" customWidth="1"/>
    <col min="3" max="3" width="9.109375" style="115"/>
    <col min="4" max="4" width="13.33203125" style="115" bestFit="1" customWidth="1"/>
    <col min="5" max="5" width="33.6640625" style="115" bestFit="1" customWidth="1"/>
    <col min="6" max="6" width="17.5546875" style="115" bestFit="1" customWidth="1"/>
    <col min="7" max="7" width="111.33203125" style="115" bestFit="1" customWidth="1"/>
    <col min="8" max="16384" width="9.109375" style="115"/>
  </cols>
  <sheetData>
    <row r="1" spans="1:8" ht="86.25" customHeight="1" x14ac:dyDescent="0.3">
      <c r="A1" s="9"/>
      <c r="B1"/>
      <c r="C1"/>
      <c r="D1"/>
      <c r="E1"/>
      <c r="F1"/>
      <c r="G1"/>
      <c r="H1"/>
    </row>
    <row r="2" spans="1:8" ht="18" x14ac:dyDescent="0.35">
      <c r="A2" s="9"/>
      <c r="B2" s="377" t="s">
        <v>131</v>
      </c>
      <c r="C2" s="378"/>
      <c r="D2" s="378"/>
      <c r="E2" s="378"/>
      <c r="F2" s="378"/>
      <c r="G2" s="378"/>
      <c r="H2"/>
    </row>
    <row r="3" spans="1:8" x14ac:dyDescent="0.3">
      <c r="A3" s="9"/>
      <c r="B3"/>
      <c r="C3"/>
      <c r="D3"/>
      <c r="E3"/>
      <c r="F3"/>
      <c r="G3"/>
      <c r="H3"/>
    </row>
    <row r="4" spans="1:8" ht="15" thickBot="1" x14ac:dyDescent="0.35">
      <c r="A4" s="9"/>
      <c r="B4"/>
      <c r="C4"/>
      <c r="D4"/>
      <c r="E4"/>
      <c r="F4"/>
      <c r="G4"/>
      <c r="H4"/>
    </row>
    <row r="5" spans="1:8" ht="15" thickBot="1" x14ac:dyDescent="0.35">
      <c r="A5" s="9"/>
      <c r="B5" s="298" t="s">
        <v>350</v>
      </c>
      <c r="C5"/>
      <c r="D5"/>
      <c r="E5" s="151" t="s">
        <v>206</v>
      </c>
      <c r="F5" s="152">
        <v>180</v>
      </c>
      <c r="G5"/>
      <c r="H5"/>
    </row>
    <row r="6" spans="1:8" ht="15" thickBot="1" x14ac:dyDescent="0.35">
      <c r="A6" s="9"/>
      <c r="B6"/>
      <c r="C6"/>
      <c r="D6"/>
      <c r="E6" s="151" t="s">
        <v>207</v>
      </c>
      <c r="F6" s="152">
        <v>176</v>
      </c>
      <c r="G6"/>
      <c r="H6"/>
    </row>
    <row r="7" spans="1:8" ht="15" thickBot="1" x14ac:dyDescent="0.35">
      <c r="A7" s="9"/>
      <c r="B7"/>
      <c r="C7"/>
      <c r="D7"/>
      <c r="E7" s="151" t="s">
        <v>208</v>
      </c>
      <c r="F7" s="152">
        <v>220</v>
      </c>
      <c r="G7"/>
      <c r="H7"/>
    </row>
    <row r="8" spans="1:8" ht="15" thickBot="1" x14ac:dyDescent="0.35">
      <c r="A8" s="9"/>
      <c r="B8"/>
      <c r="C8"/>
      <c r="D8"/>
      <c r="E8" s="151" t="s">
        <v>130</v>
      </c>
      <c r="F8" s="152" t="s">
        <v>209</v>
      </c>
      <c r="G8"/>
      <c r="H8"/>
    </row>
    <row r="9" spans="1:8" x14ac:dyDescent="0.3">
      <c r="A9" s="9"/>
      <c r="B9"/>
      <c r="C9"/>
      <c r="D9"/>
      <c r="E9"/>
      <c r="F9"/>
      <c r="G9"/>
      <c r="H9"/>
    </row>
    <row r="10" spans="1:8" x14ac:dyDescent="0.3">
      <c r="A10" s="9"/>
      <c r="B10"/>
      <c r="C10" t="s">
        <v>351</v>
      </c>
      <c r="D10" t="s">
        <v>352</v>
      </c>
      <c r="E10"/>
      <c r="F10"/>
      <c r="G10"/>
      <c r="H10"/>
    </row>
    <row r="11" spans="1:8" ht="15" thickBot="1" x14ac:dyDescent="0.35">
      <c r="A11" s="9"/>
      <c r="B11"/>
      <c r="C11"/>
      <c r="D11"/>
      <c r="E11"/>
      <c r="F11"/>
      <c r="G11"/>
      <c r="H11"/>
    </row>
    <row r="12" spans="1:8" x14ac:dyDescent="0.3">
      <c r="A12" s="9"/>
      <c r="B12" s="263"/>
      <c r="C12" s="257"/>
      <c r="D12" s="258" t="s">
        <v>24</v>
      </c>
      <c r="E12" s="257"/>
      <c r="F12" s="258" t="s">
        <v>25</v>
      </c>
      <c r="G12" s="259"/>
      <c r="H12"/>
    </row>
    <row r="13" spans="1:8" ht="15" thickBot="1" x14ac:dyDescent="0.35">
      <c r="A13" s="9"/>
      <c r="B13" s="283" t="s">
        <v>1</v>
      </c>
      <c r="C13" s="260" t="s">
        <v>0</v>
      </c>
      <c r="D13" s="260" t="s">
        <v>137</v>
      </c>
      <c r="E13" s="260" t="s">
        <v>43</v>
      </c>
      <c r="F13" s="260" t="s">
        <v>26</v>
      </c>
      <c r="G13" s="261" t="s">
        <v>8</v>
      </c>
      <c r="H13"/>
    </row>
    <row r="14" spans="1:8" x14ac:dyDescent="0.3">
      <c r="A14" s="9"/>
      <c r="B14" s="227" t="s">
        <v>2</v>
      </c>
      <c r="C14" s="237">
        <v>1</v>
      </c>
      <c r="D14" s="229">
        <v>275.62</v>
      </c>
      <c r="E14" s="237" t="s">
        <v>32</v>
      </c>
      <c r="F14" s="229">
        <v>275.62</v>
      </c>
      <c r="G14" s="240" t="s">
        <v>353</v>
      </c>
      <c r="H14"/>
    </row>
    <row r="15" spans="1:8" ht="28.8" x14ac:dyDescent="0.3">
      <c r="A15" s="9"/>
      <c r="B15" s="230" t="s">
        <v>266</v>
      </c>
      <c r="C15" s="238">
        <v>1</v>
      </c>
      <c r="D15" s="232">
        <v>115</v>
      </c>
      <c r="E15" s="238">
        <v>80</v>
      </c>
      <c r="F15" s="232">
        <v>78.41</v>
      </c>
      <c r="G15" s="344" t="s">
        <v>355</v>
      </c>
      <c r="H15"/>
    </row>
    <row r="16" spans="1:8" x14ac:dyDescent="0.3">
      <c r="A16" s="9"/>
      <c r="B16" s="233" t="s">
        <v>7</v>
      </c>
      <c r="C16" s="238">
        <v>1</v>
      </c>
      <c r="D16" s="232">
        <f>26200/2</f>
        <v>13100</v>
      </c>
      <c r="E16" s="238" t="s">
        <v>145</v>
      </c>
      <c r="F16" s="232">
        <f>3400/2</f>
        <v>1700</v>
      </c>
      <c r="G16" s="241" t="s">
        <v>301</v>
      </c>
      <c r="H16"/>
    </row>
    <row r="17" spans="1:8" ht="15" thickBot="1" x14ac:dyDescent="0.35">
      <c r="A17" s="9"/>
      <c r="B17" s="234" t="s">
        <v>259</v>
      </c>
      <c r="C17" s="239">
        <v>1</v>
      </c>
      <c r="D17" s="236" t="s">
        <v>261</v>
      </c>
      <c r="E17" s="239">
        <v>16</v>
      </c>
      <c r="F17" s="236">
        <v>0</v>
      </c>
      <c r="G17" s="242" t="s">
        <v>138</v>
      </c>
      <c r="H17"/>
    </row>
    <row r="18" spans="1:8" ht="15" thickBot="1" x14ac:dyDescent="0.35">
      <c r="A18" s="9"/>
      <c r="B18"/>
      <c r="C18"/>
      <c r="D18"/>
      <c r="E18"/>
      <c r="F18"/>
      <c r="G18"/>
      <c r="H18"/>
    </row>
    <row r="19" spans="1:8" x14ac:dyDescent="0.3">
      <c r="A19" s="9"/>
      <c r="B19" s="243" t="s">
        <v>139</v>
      </c>
      <c r="C19" s="153"/>
      <c r="D19" s="153"/>
      <c r="E19" s="153"/>
      <c r="F19" s="153"/>
      <c r="G19" s="154"/>
      <c r="H19"/>
    </row>
    <row r="20" spans="1:8" x14ac:dyDescent="0.3">
      <c r="A20" s="9"/>
      <c r="B20" s="155" t="s">
        <v>267</v>
      </c>
      <c r="C20"/>
      <c r="D20"/>
      <c r="E20"/>
      <c r="F20"/>
      <c r="G20" s="156"/>
      <c r="H20"/>
    </row>
    <row r="21" spans="1:8" ht="15" thickBot="1" x14ac:dyDescent="0.35">
      <c r="A21" s="9"/>
      <c r="B21" s="157"/>
      <c r="C21" s="158"/>
      <c r="D21" s="158"/>
      <c r="E21" s="158"/>
      <c r="F21" s="158"/>
      <c r="G21" s="159"/>
      <c r="H21"/>
    </row>
    <row r="22" spans="1:8" ht="15" thickBot="1" x14ac:dyDescent="0.35">
      <c r="A22" s="9"/>
      <c r="B22"/>
      <c r="C22"/>
      <c r="D22"/>
      <c r="E22"/>
      <c r="F22"/>
      <c r="G22"/>
      <c r="H22"/>
    </row>
    <row r="23" spans="1:8" x14ac:dyDescent="0.3">
      <c r="A23" s="9"/>
      <c r="B23" s="257"/>
      <c r="C23" s="257"/>
      <c r="D23" s="258" t="s">
        <v>24</v>
      </c>
      <c r="E23" s="257"/>
      <c r="F23" s="258" t="s">
        <v>25</v>
      </c>
      <c r="G23" s="259"/>
      <c r="H23"/>
    </row>
    <row r="24" spans="1:8" ht="15" thickBot="1" x14ac:dyDescent="0.35">
      <c r="A24" s="9"/>
      <c r="B24" s="271" t="s">
        <v>9</v>
      </c>
      <c r="C24" s="272" t="s">
        <v>0</v>
      </c>
      <c r="D24" s="272" t="s">
        <v>137</v>
      </c>
      <c r="E24" s="272" t="s">
        <v>43</v>
      </c>
      <c r="F24" s="272" t="s">
        <v>26</v>
      </c>
      <c r="G24" s="270" t="s">
        <v>8</v>
      </c>
      <c r="H24"/>
    </row>
    <row r="25" spans="1:8" x14ac:dyDescent="0.3">
      <c r="A25" s="9"/>
      <c r="B25" s="244" t="s">
        <v>6</v>
      </c>
      <c r="C25" s="245">
        <v>1</v>
      </c>
      <c r="D25" s="246">
        <f>16200/2</f>
        <v>8100</v>
      </c>
      <c r="E25" s="245" t="s">
        <v>145</v>
      </c>
      <c r="F25" s="246">
        <f>2160/2</f>
        <v>1080</v>
      </c>
      <c r="G25" s="247"/>
      <c r="H25"/>
    </row>
    <row r="26" spans="1:8" x14ac:dyDescent="0.3">
      <c r="A26" s="9"/>
      <c r="B26" s="233" t="s">
        <v>33</v>
      </c>
      <c r="C26" s="238">
        <v>1</v>
      </c>
      <c r="D26" s="232">
        <v>1600</v>
      </c>
      <c r="E26" s="238" t="s">
        <v>145</v>
      </c>
      <c r="F26" s="232">
        <v>1753</v>
      </c>
      <c r="G26" s="241" t="s">
        <v>354</v>
      </c>
      <c r="H26"/>
    </row>
    <row r="27" spans="1:8" x14ac:dyDescent="0.3">
      <c r="A27" s="9"/>
      <c r="B27" s="230" t="s">
        <v>30</v>
      </c>
      <c r="C27" s="238">
        <v>1</v>
      </c>
      <c r="D27" s="232">
        <v>0</v>
      </c>
      <c r="E27" s="238">
        <v>16</v>
      </c>
      <c r="F27" s="232">
        <v>356.4</v>
      </c>
      <c r="G27" s="241"/>
      <c r="H27"/>
    </row>
    <row r="28" spans="1:8" x14ac:dyDescent="0.3">
      <c r="A28" s="9"/>
      <c r="B28" s="230" t="s">
        <v>10</v>
      </c>
      <c r="C28" s="238">
        <v>1</v>
      </c>
      <c r="D28" s="232">
        <v>0</v>
      </c>
      <c r="E28" s="238">
        <v>16</v>
      </c>
      <c r="F28" s="232">
        <v>356.4</v>
      </c>
      <c r="G28" s="241"/>
      <c r="H28"/>
    </row>
    <row r="29" spans="1:8" x14ac:dyDescent="0.3">
      <c r="A29" s="9"/>
      <c r="B29" s="230" t="s">
        <v>11</v>
      </c>
      <c r="C29" s="238">
        <v>1</v>
      </c>
      <c r="D29" s="232">
        <v>0</v>
      </c>
      <c r="E29" s="238">
        <v>24</v>
      </c>
      <c r="F29" s="232">
        <v>356.4</v>
      </c>
      <c r="G29" s="241"/>
      <c r="H29"/>
    </row>
    <row r="30" spans="1:8" x14ac:dyDescent="0.3">
      <c r="A30" s="9"/>
      <c r="B30" s="230" t="s">
        <v>28</v>
      </c>
      <c r="C30" s="238">
        <v>1</v>
      </c>
      <c r="D30" s="232">
        <v>0</v>
      </c>
      <c r="E30" s="238">
        <v>16</v>
      </c>
      <c r="F30" s="232">
        <v>356.4</v>
      </c>
      <c r="G30" s="241"/>
      <c r="H30"/>
    </row>
    <row r="31" spans="1:8" x14ac:dyDescent="0.3">
      <c r="A31" s="9"/>
      <c r="B31" s="230" t="s">
        <v>29</v>
      </c>
      <c r="C31" s="238">
        <v>1</v>
      </c>
      <c r="D31" s="232">
        <v>0</v>
      </c>
      <c r="E31" s="238">
        <v>16</v>
      </c>
      <c r="F31" s="232">
        <v>356.4</v>
      </c>
      <c r="G31" s="241"/>
      <c r="H31"/>
    </row>
    <row r="32" spans="1:8" x14ac:dyDescent="0.3">
      <c r="A32" s="9"/>
      <c r="B32" s="230" t="s">
        <v>31</v>
      </c>
      <c r="C32" s="238">
        <v>1</v>
      </c>
      <c r="D32" s="232">
        <v>0</v>
      </c>
      <c r="E32" s="238">
        <v>2</v>
      </c>
      <c r="F32" s="232">
        <v>356.4</v>
      </c>
      <c r="G32" s="241"/>
      <c r="H32"/>
    </row>
    <row r="33" spans="1:8" x14ac:dyDescent="0.3">
      <c r="A33" s="9"/>
      <c r="B33" s="230" t="s">
        <v>295</v>
      </c>
      <c r="C33" s="238">
        <v>1</v>
      </c>
      <c r="D33" s="232">
        <v>0</v>
      </c>
      <c r="E33" s="238" t="s">
        <v>32</v>
      </c>
      <c r="F33" s="232">
        <v>356.4</v>
      </c>
      <c r="G33" s="241"/>
      <c r="H33"/>
    </row>
    <row r="34" spans="1:8" x14ac:dyDescent="0.3">
      <c r="A34" s="9"/>
      <c r="B34" s="230" t="s">
        <v>298</v>
      </c>
      <c r="C34" s="238">
        <v>1</v>
      </c>
      <c r="D34" s="232">
        <v>0</v>
      </c>
      <c r="E34" s="238">
        <v>16</v>
      </c>
      <c r="F34" s="232">
        <v>356.4</v>
      </c>
      <c r="G34" s="241"/>
      <c r="H34"/>
    </row>
    <row r="35" spans="1:8" x14ac:dyDescent="0.3">
      <c r="A35" s="9"/>
      <c r="B35" s="230" t="s">
        <v>5</v>
      </c>
      <c r="C35" s="238">
        <v>1</v>
      </c>
      <c r="D35" s="232">
        <v>0</v>
      </c>
      <c r="E35" s="238" t="s">
        <v>32</v>
      </c>
      <c r="F35" s="232">
        <v>689.04</v>
      </c>
      <c r="G35" s="241"/>
      <c r="H35"/>
    </row>
    <row r="36" spans="1:8" x14ac:dyDescent="0.3">
      <c r="A36" s="9"/>
      <c r="B36" s="230" t="s">
        <v>3</v>
      </c>
      <c r="C36" s="238">
        <v>1</v>
      </c>
      <c r="D36" s="232" t="s">
        <v>261</v>
      </c>
      <c r="E36" s="238" t="s">
        <v>32</v>
      </c>
      <c r="F36" s="232">
        <v>0</v>
      </c>
      <c r="G36" s="241" t="s">
        <v>140</v>
      </c>
      <c r="H36"/>
    </row>
    <row r="37" spans="1:8" x14ac:dyDescent="0.3">
      <c r="A37" s="9"/>
      <c r="B37" s="340" t="s">
        <v>356</v>
      </c>
      <c r="C37" s="341">
        <v>1</v>
      </c>
      <c r="D37" s="342">
        <v>6000</v>
      </c>
      <c r="E37" s="341">
        <v>20</v>
      </c>
      <c r="F37" s="342">
        <v>2000</v>
      </c>
      <c r="G37" s="343"/>
      <c r="H37"/>
    </row>
    <row r="38" spans="1:8" ht="15" thickBot="1" x14ac:dyDescent="0.35">
      <c r="A38" s="9"/>
      <c r="B38" s="234" t="s">
        <v>294</v>
      </c>
      <c r="C38" s="239">
        <v>1</v>
      </c>
      <c r="D38" s="236">
        <v>0</v>
      </c>
      <c r="E38" s="239">
        <v>2</v>
      </c>
      <c r="F38" s="236">
        <v>240</v>
      </c>
      <c r="G38" s="242"/>
      <c r="H38"/>
    </row>
    <row r="39" spans="1:8" ht="15" thickBot="1" x14ac:dyDescent="0.35">
      <c r="A39" s="9"/>
      <c r="B39" s="234" t="s">
        <v>4</v>
      </c>
      <c r="C39" s="239">
        <v>1</v>
      </c>
      <c r="D39" s="236">
        <v>528</v>
      </c>
      <c r="E39" s="239" t="s">
        <v>32</v>
      </c>
      <c r="F39" s="236">
        <v>142.56</v>
      </c>
      <c r="G39" s="242" t="s">
        <v>141</v>
      </c>
      <c r="H39"/>
    </row>
    <row r="40" spans="1:8" ht="15" thickBot="1" x14ac:dyDescent="0.35">
      <c r="A40" s="9"/>
      <c r="B40"/>
      <c r="C40" s="1"/>
      <c r="D40" s="4"/>
      <c r="E40" s="1"/>
      <c r="F40" s="3"/>
      <c r="G40" s="1"/>
      <c r="H40"/>
    </row>
    <row r="41" spans="1:8" x14ac:dyDescent="0.3">
      <c r="A41" s="9"/>
      <c r="B41" s="243" t="s">
        <v>139</v>
      </c>
      <c r="C41" s="153"/>
      <c r="D41" s="153"/>
      <c r="E41" s="153"/>
      <c r="F41" s="153"/>
      <c r="G41" s="154"/>
      <c r="H41"/>
    </row>
    <row r="42" spans="1:8" x14ac:dyDescent="0.3">
      <c r="A42" s="9"/>
      <c r="B42" s="155" t="s">
        <v>260</v>
      </c>
      <c r="C42"/>
      <c r="D42"/>
      <c r="E42"/>
      <c r="F42"/>
      <c r="G42" s="156"/>
      <c r="H42"/>
    </row>
    <row r="43" spans="1:8" ht="15" thickBot="1" x14ac:dyDescent="0.35">
      <c r="A43" s="9"/>
      <c r="B43" s="157"/>
      <c r="C43" s="158"/>
      <c r="D43" s="158"/>
      <c r="E43" s="158"/>
      <c r="F43" s="158"/>
      <c r="G43" s="159"/>
      <c r="H43"/>
    </row>
    <row r="44" spans="1:8" ht="15" thickBot="1" x14ac:dyDescent="0.35">
      <c r="A44" s="9"/>
      <c r="B44"/>
      <c r="C44" s="1"/>
      <c r="D44" s="4"/>
      <c r="E44" s="1"/>
      <c r="F44" s="3"/>
      <c r="G44" s="1"/>
      <c r="H44"/>
    </row>
    <row r="45" spans="1:8" x14ac:dyDescent="0.3">
      <c r="A45" s="9"/>
      <c r="B45" s="263"/>
      <c r="C45" s="257"/>
      <c r="D45" s="258" t="s">
        <v>24</v>
      </c>
      <c r="E45" s="257"/>
      <c r="F45" s="258" t="s">
        <v>25</v>
      </c>
      <c r="G45" s="259"/>
      <c r="H45"/>
    </row>
    <row r="46" spans="1:8" ht="15" thickBot="1" x14ac:dyDescent="0.35">
      <c r="A46" s="9"/>
      <c r="B46" s="264" t="s">
        <v>12</v>
      </c>
      <c r="C46" s="260" t="s">
        <v>0</v>
      </c>
      <c r="D46" s="260" t="s">
        <v>137</v>
      </c>
      <c r="E46" s="260" t="s">
        <v>43</v>
      </c>
      <c r="F46" s="260" t="s">
        <v>26</v>
      </c>
      <c r="G46" s="261" t="s">
        <v>8</v>
      </c>
      <c r="H46"/>
    </row>
    <row r="47" spans="1:8" x14ac:dyDescent="0.3">
      <c r="A47" s="9"/>
      <c r="B47" s="227" t="s">
        <v>13</v>
      </c>
      <c r="C47" s="237">
        <v>1</v>
      </c>
      <c r="D47" s="229">
        <v>0</v>
      </c>
      <c r="E47" s="237">
        <v>16</v>
      </c>
      <c r="F47" s="229">
        <v>712.8</v>
      </c>
      <c r="G47" s="240" t="s">
        <v>142</v>
      </c>
      <c r="H47"/>
    </row>
    <row r="48" spans="1:8" x14ac:dyDescent="0.3">
      <c r="A48" s="9"/>
      <c r="B48" s="230" t="s">
        <v>14</v>
      </c>
      <c r="C48" s="238">
        <v>1</v>
      </c>
      <c r="D48" s="232">
        <v>0</v>
      </c>
      <c r="E48" s="238">
        <v>16</v>
      </c>
      <c r="F48" s="232">
        <v>712.8</v>
      </c>
      <c r="G48" s="241" t="s">
        <v>142</v>
      </c>
      <c r="H48"/>
    </row>
    <row r="49" spans="1:8" x14ac:dyDescent="0.3">
      <c r="A49" s="9"/>
      <c r="B49" s="230" t="s">
        <v>15</v>
      </c>
      <c r="C49" s="238">
        <v>1</v>
      </c>
      <c r="D49" s="232">
        <v>0</v>
      </c>
      <c r="E49" s="238">
        <v>16</v>
      </c>
      <c r="F49" s="232">
        <v>712.8</v>
      </c>
      <c r="G49" s="241" t="s">
        <v>142</v>
      </c>
      <c r="H49"/>
    </row>
    <row r="50" spans="1:8" x14ac:dyDescent="0.3">
      <c r="A50" s="9"/>
      <c r="B50" s="230" t="s">
        <v>16</v>
      </c>
      <c r="C50" s="238">
        <v>1</v>
      </c>
      <c r="D50" s="232">
        <v>0</v>
      </c>
      <c r="E50" s="238">
        <v>16</v>
      </c>
      <c r="F50" s="232">
        <v>712.8</v>
      </c>
      <c r="G50" s="241" t="s">
        <v>142</v>
      </c>
      <c r="H50"/>
    </row>
    <row r="51" spans="1:8" x14ac:dyDescent="0.3">
      <c r="A51" s="9"/>
      <c r="B51" s="230" t="s">
        <v>146</v>
      </c>
      <c r="C51" s="238">
        <v>1</v>
      </c>
      <c r="D51" s="232">
        <v>0</v>
      </c>
      <c r="E51" s="238">
        <v>16</v>
      </c>
      <c r="F51" s="232">
        <v>712.8</v>
      </c>
      <c r="G51" s="241" t="s">
        <v>142</v>
      </c>
      <c r="H51"/>
    </row>
    <row r="52" spans="1:8" x14ac:dyDescent="0.3">
      <c r="A52" s="9"/>
      <c r="B52" s="307" t="s">
        <v>365</v>
      </c>
      <c r="C52" s="308">
        <v>1</v>
      </c>
      <c r="D52" s="232">
        <v>0</v>
      </c>
      <c r="E52" s="308">
        <v>16</v>
      </c>
      <c r="F52" s="309">
        <v>712.8</v>
      </c>
      <c r="G52" s="357" t="s">
        <v>142</v>
      </c>
      <c r="H52"/>
    </row>
    <row r="53" spans="1:8" x14ac:dyDescent="0.3">
      <c r="A53" s="9"/>
      <c r="B53" s="307" t="s">
        <v>300</v>
      </c>
      <c r="C53" s="308">
        <v>1</v>
      </c>
      <c r="D53" s="232">
        <v>0</v>
      </c>
      <c r="E53" s="308">
        <v>16</v>
      </c>
      <c r="F53" s="309">
        <v>712.8</v>
      </c>
      <c r="G53" s="241" t="s">
        <v>142</v>
      </c>
      <c r="H53"/>
    </row>
    <row r="54" spans="1:8" x14ac:dyDescent="0.3">
      <c r="A54" s="9"/>
      <c r="B54" s="307" t="s">
        <v>363</v>
      </c>
      <c r="C54" s="308">
        <v>1</v>
      </c>
      <c r="D54" s="309">
        <v>0</v>
      </c>
      <c r="E54" s="308">
        <v>16</v>
      </c>
      <c r="F54" s="309">
        <v>712.8</v>
      </c>
      <c r="G54" s="241" t="s">
        <v>142</v>
      </c>
      <c r="H54"/>
    </row>
    <row r="55" spans="1:8" x14ac:dyDescent="0.3">
      <c r="A55" s="9"/>
      <c r="B55" s="248" t="s">
        <v>35</v>
      </c>
      <c r="C55" s="249"/>
      <c r="D55" s="249"/>
      <c r="E55" s="249"/>
      <c r="F55" s="249"/>
      <c r="G55" s="250"/>
      <c r="H55"/>
    </row>
    <row r="56" spans="1:8" x14ac:dyDescent="0.3">
      <c r="A56" s="9"/>
      <c r="B56" s="233" t="s">
        <v>36</v>
      </c>
      <c r="C56" s="238">
        <v>1</v>
      </c>
      <c r="D56" s="232">
        <f>16200/4</f>
        <v>4050</v>
      </c>
      <c r="E56" s="238" t="s">
        <v>145</v>
      </c>
      <c r="F56" s="232">
        <v>712.8</v>
      </c>
      <c r="G56" s="241" t="s">
        <v>142</v>
      </c>
      <c r="H56"/>
    </row>
    <row r="57" spans="1:8" x14ac:dyDescent="0.3">
      <c r="A57" s="9"/>
      <c r="B57" s="233" t="s">
        <v>37</v>
      </c>
      <c r="C57" s="238">
        <v>1</v>
      </c>
      <c r="D57" s="232">
        <f>16200/4</f>
        <v>4050</v>
      </c>
      <c r="E57" s="238" t="s">
        <v>145</v>
      </c>
      <c r="F57" s="232">
        <v>712.8</v>
      </c>
      <c r="G57" s="241" t="s">
        <v>142</v>
      </c>
      <c r="H57"/>
    </row>
    <row r="58" spans="1:8" x14ac:dyDescent="0.3">
      <c r="A58" s="9"/>
      <c r="B58" s="233" t="s">
        <v>38</v>
      </c>
      <c r="C58" s="238">
        <v>1</v>
      </c>
      <c r="D58" s="232">
        <f>16200/4</f>
        <v>4050</v>
      </c>
      <c r="E58" s="238" t="s">
        <v>145</v>
      </c>
      <c r="F58" s="232">
        <v>712.8</v>
      </c>
      <c r="G58" s="241" t="s">
        <v>142</v>
      </c>
      <c r="H58"/>
    </row>
    <row r="59" spans="1:8" x14ac:dyDescent="0.3">
      <c r="A59" s="9"/>
      <c r="B59" s="233" t="s">
        <v>39</v>
      </c>
      <c r="C59" s="238">
        <v>1</v>
      </c>
      <c r="D59" s="232">
        <f>16200/4</f>
        <v>4050</v>
      </c>
      <c r="E59" s="238" t="s">
        <v>145</v>
      </c>
      <c r="F59" s="232">
        <v>712.8</v>
      </c>
      <c r="G59" s="241" t="s">
        <v>142</v>
      </c>
      <c r="H59"/>
    </row>
    <row r="60" spans="1:8" x14ac:dyDescent="0.3">
      <c r="A60" s="9"/>
      <c r="B60" s="248" t="s">
        <v>174</v>
      </c>
      <c r="C60" s="249"/>
      <c r="D60" s="249"/>
      <c r="E60" s="249"/>
      <c r="F60" s="249"/>
      <c r="G60" s="250"/>
      <c r="H60"/>
    </row>
    <row r="61" spans="1:8" x14ac:dyDescent="0.3">
      <c r="A61" s="9"/>
      <c r="B61" s="276" t="s">
        <v>263</v>
      </c>
      <c r="C61" s="273">
        <v>1</v>
      </c>
      <c r="D61" s="274">
        <v>290</v>
      </c>
      <c r="E61" s="275" t="s">
        <v>173</v>
      </c>
      <c r="F61" s="274">
        <v>190</v>
      </c>
      <c r="G61" s="277" t="s">
        <v>268</v>
      </c>
      <c r="H61"/>
    </row>
    <row r="62" spans="1:8" x14ac:dyDescent="0.3">
      <c r="A62" s="9"/>
      <c r="B62" s="276" t="s">
        <v>264</v>
      </c>
      <c r="C62" s="273">
        <v>1</v>
      </c>
      <c r="D62" s="274">
        <v>190</v>
      </c>
      <c r="E62" s="275" t="s">
        <v>173</v>
      </c>
      <c r="F62" s="274">
        <v>190</v>
      </c>
      <c r="G62" s="277" t="s">
        <v>268</v>
      </c>
      <c r="H62"/>
    </row>
    <row r="63" spans="1:8" ht="15" thickBot="1" x14ac:dyDescent="0.35">
      <c r="A63" s="9"/>
      <c r="B63" s="278" t="s">
        <v>265</v>
      </c>
      <c r="C63" s="279">
        <v>1</v>
      </c>
      <c r="D63" s="280">
        <v>770</v>
      </c>
      <c r="E63" s="281" t="s">
        <v>173</v>
      </c>
      <c r="F63" s="280">
        <v>280</v>
      </c>
      <c r="G63" s="282" t="s">
        <v>268</v>
      </c>
      <c r="H63"/>
    </row>
    <row r="64" spans="1:8" ht="15" thickBot="1" x14ac:dyDescent="0.35">
      <c r="A64" s="9"/>
      <c r="B64"/>
      <c r="C64" s="7"/>
      <c r="D64" s="7"/>
      <c r="E64" s="7"/>
      <c r="F64" s="7"/>
      <c r="G64" s="7"/>
      <c r="H64"/>
    </row>
    <row r="65" spans="1:8" x14ac:dyDescent="0.3">
      <c r="A65" s="9"/>
      <c r="B65" s="243" t="s">
        <v>139</v>
      </c>
      <c r="C65" s="153"/>
      <c r="D65" s="153"/>
      <c r="E65" s="153"/>
      <c r="F65" s="153"/>
      <c r="G65" s="154"/>
      <c r="H65"/>
    </row>
    <row r="66" spans="1:8" x14ac:dyDescent="0.3">
      <c r="A66" s="9"/>
      <c r="B66" s="155" t="s">
        <v>262</v>
      </c>
      <c r="C66"/>
      <c r="D66"/>
      <c r="E66" s="2">
        <f>D59/200</f>
        <v>20.25</v>
      </c>
      <c r="F66"/>
      <c r="G66" s="156"/>
      <c r="H66"/>
    </row>
    <row r="67" spans="1:8" x14ac:dyDescent="0.3">
      <c r="A67" s="9"/>
      <c r="B67" s="155" t="s">
        <v>214</v>
      </c>
      <c r="C67"/>
      <c r="D67"/>
      <c r="E67"/>
      <c r="F67"/>
      <c r="G67" s="156"/>
      <c r="H67"/>
    </row>
    <row r="68" spans="1:8" x14ac:dyDescent="0.3">
      <c r="A68" s="9"/>
      <c r="B68" s="155" t="s">
        <v>269</v>
      </c>
      <c r="C68"/>
      <c r="D68"/>
      <c r="E68"/>
      <c r="F68"/>
      <c r="G68" s="156"/>
      <c r="H68"/>
    </row>
    <row r="69" spans="1:8" ht="15" thickBot="1" x14ac:dyDescent="0.35">
      <c r="A69" s="9"/>
      <c r="B69" s="157" t="s">
        <v>217</v>
      </c>
      <c r="C69" s="158"/>
      <c r="D69" s="158"/>
      <c r="E69" s="158"/>
      <c r="F69" s="158"/>
      <c r="G69" s="159"/>
      <c r="H69"/>
    </row>
    <row r="70" spans="1:8" ht="15" thickBot="1" x14ac:dyDescent="0.35">
      <c r="A70" s="9"/>
      <c r="B70"/>
      <c r="C70"/>
      <c r="D70"/>
      <c r="E70"/>
      <c r="F70"/>
      <c r="G70"/>
      <c r="H70"/>
    </row>
    <row r="71" spans="1:8" x14ac:dyDescent="0.3">
      <c r="A71" s="9"/>
      <c r="B71" s="257"/>
      <c r="C71" s="257"/>
      <c r="D71" s="258" t="s">
        <v>24</v>
      </c>
      <c r="E71" s="257"/>
      <c r="F71" s="258" t="s">
        <v>25</v>
      </c>
      <c r="G71" s="259"/>
      <c r="H71"/>
    </row>
    <row r="72" spans="1:8" ht="15" thickBot="1" x14ac:dyDescent="0.35">
      <c r="A72" s="9"/>
      <c r="B72" s="262" t="s">
        <v>241</v>
      </c>
      <c r="C72" s="260" t="s">
        <v>0</v>
      </c>
      <c r="D72" s="260" t="s">
        <v>137</v>
      </c>
      <c r="E72" s="260" t="s">
        <v>43</v>
      </c>
      <c r="F72" s="260" t="s">
        <v>26</v>
      </c>
      <c r="G72" s="261" t="s">
        <v>8</v>
      </c>
      <c r="H72"/>
    </row>
    <row r="73" spans="1:8" x14ac:dyDescent="0.3">
      <c r="A73" s="9"/>
      <c r="B73" s="265" t="s">
        <v>17</v>
      </c>
      <c r="C73" s="237">
        <v>1</v>
      </c>
      <c r="D73" s="228">
        <v>0</v>
      </c>
      <c r="E73" s="237">
        <v>0</v>
      </c>
      <c r="F73" s="229">
        <v>11</v>
      </c>
      <c r="G73" s="240" t="s">
        <v>270</v>
      </c>
      <c r="H73"/>
    </row>
    <row r="74" spans="1:8" x14ac:dyDescent="0.3">
      <c r="A74" s="9"/>
      <c r="B74" s="266" t="s">
        <v>18</v>
      </c>
      <c r="C74" s="238">
        <v>1</v>
      </c>
      <c r="D74" s="231">
        <v>0</v>
      </c>
      <c r="E74" s="238">
        <v>0</v>
      </c>
      <c r="F74" s="232">
        <v>19.8</v>
      </c>
      <c r="G74" s="241" t="s">
        <v>270</v>
      </c>
      <c r="H74"/>
    </row>
    <row r="75" spans="1:8" x14ac:dyDescent="0.3">
      <c r="A75" s="9"/>
      <c r="B75" s="267" t="s">
        <v>19</v>
      </c>
      <c r="C75" s="238">
        <v>1</v>
      </c>
      <c r="D75" s="231">
        <v>0</v>
      </c>
      <c r="E75" s="238">
        <v>16</v>
      </c>
      <c r="F75" s="232">
        <v>16.5</v>
      </c>
      <c r="G75" s="241" t="s">
        <v>270</v>
      </c>
      <c r="H75"/>
    </row>
    <row r="76" spans="1:8" x14ac:dyDescent="0.3">
      <c r="A76" s="9"/>
      <c r="B76" s="267" t="s">
        <v>20</v>
      </c>
      <c r="C76" s="238">
        <v>1</v>
      </c>
      <c r="D76" s="231">
        <v>0</v>
      </c>
      <c r="E76" s="238">
        <v>0</v>
      </c>
      <c r="F76" s="232">
        <v>19.8</v>
      </c>
      <c r="G76" s="241" t="s">
        <v>270</v>
      </c>
      <c r="H76"/>
    </row>
    <row r="77" spans="1:8" x14ac:dyDescent="0.3">
      <c r="A77" s="9"/>
      <c r="B77" s="267" t="s">
        <v>21</v>
      </c>
      <c r="C77" s="238">
        <v>1</v>
      </c>
      <c r="D77" s="231">
        <v>0</v>
      </c>
      <c r="E77" s="238">
        <v>0</v>
      </c>
      <c r="F77" s="232">
        <v>8.8000000000000007</v>
      </c>
      <c r="G77" s="241" t="s">
        <v>270</v>
      </c>
      <c r="H77"/>
    </row>
    <row r="78" spans="1:8" x14ac:dyDescent="0.3">
      <c r="A78" s="9"/>
      <c r="B78" s="267" t="s">
        <v>22</v>
      </c>
      <c r="C78" s="238">
        <v>1</v>
      </c>
      <c r="D78" s="231">
        <v>0</v>
      </c>
      <c r="E78" s="238">
        <v>0</v>
      </c>
      <c r="F78" s="232">
        <v>35</v>
      </c>
      <c r="G78" s="241" t="s">
        <v>270</v>
      </c>
      <c r="H78"/>
    </row>
    <row r="79" spans="1:8" ht="15" thickBot="1" x14ac:dyDescent="0.35">
      <c r="A79" s="9"/>
      <c r="B79" s="268" t="s">
        <v>23</v>
      </c>
      <c r="C79" s="239">
        <v>1</v>
      </c>
      <c r="D79" s="235">
        <v>0</v>
      </c>
      <c r="E79" s="239">
        <v>0</v>
      </c>
      <c r="F79" s="236">
        <v>19.8</v>
      </c>
      <c r="G79" s="242" t="s">
        <v>270</v>
      </c>
      <c r="H79"/>
    </row>
    <row r="80" spans="1:8" ht="15" thickBot="1" x14ac:dyDescent="0.35">
      <c r="A80" s="9"/>
      <c r="B80"/>
      <c r="C80"/>
      <c r="D80"/>
      <c r="E80"/>
      <c r="F80"/>
      <c r="G80"/>
      <c r="H80"/>
    </row>
    <row r="81" spans="1:8" x14ac:dyDescent="0.3">
      <c r="A81" s="9"/>
      <c r="B81" s="256" t="s">
        <v>27</v>
      </c>
      <c r="C81" s="254"/>
      <c r="D81" s="254"/>
      <c r="E81" s="254"/>
      <c r="F81" s="254"/>
      <c r="G81" s="255"/>
      <c r="H81"/>
    </row>
    <row r="82" spans="1:8" x14ac:dyDescent="0.3">
      <c r="A82" s="9"/>
      <c r="B82" s="224" t="s">
        <v>40</v>
      </c>
      <c r="C82" s="62"/>
      <c r="D82" s="62"/>
      <c r="E82" s="62"/>
      <c r="F82" s="62"/>
      <c r="G82" s="269" t="s">
        <v>272</v>
      </c>
      <c r="H82"/>
    </row>
    <row r="83" spans="1:8" ht="15" thickBot="1" x14ac:dyDescent="0.35">
      <c r="A83" s="9"/>
      <c r="B83" s="251" t="s">
        <v>41</v>
      </c>
      <c r="C83" s="252"/>
      <c r="D83" s="252"/>
      <c r="E83" s="252"/>
      <c r="F83" s="252"/>
      <c r="G83" s="253" t="s">
        <v>218</v>
      </c>
      <c r="H83"/>
    </row>
    <row r="84" spans="1:8" x14ac:dyDescent="0.3">
      <c r="A84" s="9"/>
      <c r="B84"/>
      <c r="C84"/>
      <c r="D84"/>
      <c r="E84"/>
      <c r="F84"/>
      <c r="G84"/>
      <c r="H84"/>
    </row>
    <row r="85" spans="1:8" x14ac:dyDescent="0.3">
      <c r="A85" s="9"/>
      <c r="B85"/>
      <c r="C85"/>
      <c r="D85"/>
      <c r="E85"/>
      <c r="F85"/>
      <c r="G85"/>
      <c r="H85"/>
    </row>
    <row r="86" spans="1:8" x14ac:dyDescent="0.3">
      <c r="B86" s="303"/>
    </row>
  </sheetData>
  <mergeCells count="1">
    <mergeCell ref="B2:G2"/>
  </mergeCells>
  <phoneticPr fontId="23" type="noConversion"/>
  <hyperlinks>
    <hyperlink ref="G52" r:id="rId1" xr:uid="{26931977-6E8C-4E11-8B68-26C348AEAEE1}"/>
  </hyperlinks>
  <pageMargins left="0.511811024" right="0.511811024" top="0.78740157499999996" bottom="0.78740157499999996" header="0.31496062000000002" footer="0.31496062000000002"/>
  <pageSetup paperSize="9" scale="3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03B51-6059-414A-A4D9-02BD75628468}">
  <dimension ref="A1:W24"/>
  <sheetViews>
    <sheetView showGridLines="0" workbookViewId="0">
      <selection activeCell="B14" sqref="B14"/>
    </sheetView>
  </sheetViews>
  <sheetFormatPr defaultColWidth="9.109375" defaultRowHeight="14.4" x14ac:dyDescent="0.3"/>
  <cols>
    <col min="1" max="1" width="14" style="115" bestFit="1" customWidth="1"/>
    <col min="2" max="2" width="19.88671875" style="115" bestFit="1" customWidth="1"/>
    <col min="3" max="3" width="16.109375" style="115" bestFit="1" customWidth="1"/>
    <col min="4" max="4" width="15.33203125" style="115" bestFit="1" customWidth="1"/>
    <col min="5" max="5" width="9.109375" style="115"/>
    <col min="6" max="6" width="24.5546875" style="115" customWidth="1"/>
    <col min="7" max="7" width="10" style="115" bestFit="1" customWidth="1"/>
    <col min="8" max="8" width="9.44140625" style="115" bestFit="1" customWidth="1"/>
    <col min="9" max="12" width="9.109375" style="115"/>
    <col min="13" max="13" width="14" style="115" bestFit="1" customWidth="1"/>
    <col min="14" max="14" width="19.88671875" style="115" bestFit="1" customWidth="1"/>
    <col min="15" max="15" width="16.109375" style="115" bestFit="1" customWidth="1"/>
    <col min="16" max="16" width="15.33203125" style="115" bestFit="1" customWidth="1"/>
    <col min="17" max="18" width="9.109375" style="115"/>
    <col min="19" max="19" width="10.109375" style="115" bestFit="1" customWidth="1"/>
    <col min="20" max="21" width="9.88671875" style="115" customWidth="1"/>
    <col min="22" max="22" width="9.44140625" style="115" bestFit="1" customWidth="1"/>
    <col min="23" max="16384" width="9.109375" style="115"/>
  </cols>
  <sheetData>
    <row r="1" spans="1:23" ht="15.6" x14ac:dyDescent="0.3">
      <c r="A1" s="382" t="s">
        <v>210</v>
      </c>
      <c r="B1" s="382"/>
      <c r="C1" s="382"/>
      <c r="D1" s="382"/>
      <c r="E1" s="382"/>
      <c r="F1" s="382"/>
      <c r="G1" s="382"/>
      <c r="H1" s="382"/>
      <c r="I1" s="382"/>
      <c r="J1" s="382"/>
      <c r="L1" s="382" t="s">
        <v>211</v>
      </c>
      <c r="M1" s="382"/>
      <c r="N1" s="382"/>
      <c r="O1" s="382"/>
      <c r="P1" s="382"/>
      <c r="Q1" s="382"/>
      <c r="R1" s="382"/>
      <c r="S1" s="382"/>
      <c r="T1" s="382"/>
      <c r="U1" s="382"/>
      <c r="V1" s="382"/>
      <c r="W1" s="382"/>
    </row>
    <row r="2" spans="1:23" x14ac:dyDescent="0.3">
      <c r="A2"/>
      <c r="B2"/>
      <c r="C2"/>
      <c r="D2"/>
      <c r="E2"/>
      <c r="F2"/>
      <c r="G2"/>
      <c r="H2"/>
      <c r="I2"/>
      <c r="J2"/>
      <c r="L2"/>
      <c r="M2"/>
      <c r="N2"/>
      <c r="O2"/>
      <c r="P2"/>
      <c r="Q2"/>
      <c r="R2"/>
      <c r="S2"/>
      <c r="T2"/>
      <c r="U2"/>
      <c r="V2"/>
      <c r="W2"/>
    </row>
    <row r="3" spans="1:23" x14ac:dyDescent="0.3">
      <c r="A3" s="379"/>
      <c r="B3" s="379"/>
      <c r="C3" s="122" t="s">
        <v>189</v>
      </c>
      <c r="D3"/>
      <c r="E3"/>
      <c r="F3"/>
      <c r="G3"/>
      <c r="H3"/>
      <c r="I3"/>
      <c r="J3"/>
      <c r="L3"/>
      <c r="M3" s="379"/>
      <c r="N3" s="379"/>
      <c r="O3" s="122" t="s">
        <v>189</v>
      </c>
      <c r="P3"/>
      <c r="Q3"/>
      <c r="R3"/>
      <c r="S3"/>
      <c r="T3"/>
      <c r="U3"/>
      <c r="V3"/>
      <c r="W3"/>
    </row>
    <row r="4" spans="1:23" x14ac:dyDescent="0.3">
      <c r="A4" s="92"/>
      <c r="B4" s="5"/>
      <c r="C4" s="123">
        <v>169.78</v>
      </c>
      <c r="D4" s="120"/>
      <c r="E4"/>
      <c r="F4"/>
      <c r="G4"/>
      <c r="H4"/>
      <c r="I4"/>
      <c r="J4"/>
      <c r="L4"/>
      <c r="M4" s="92"/>
      <c r="N4" s="5"/>
      <c r="O4" s="123">
        <v>176</v>
      </c>
      <c r="P4" s="120"/>
      <c r="Q4"/>
      <c r="R4"/>
      <c r="S4"/>
      <c r="T4"/>
      <c r="U4"/>
      <c r="V4"/>
      <c r="W4"/>
    </row>
    <row r="5" spans="1:23" x14ac:dyDescent="0.3">
      <c r="A5" s="124"/>
      <c r="B5" s="124"/>
      <c r="C5" s="125">
        <f>1-(C4/'2026'!$F$5)</f>
        <v>5.6777777777777816E-2</v>
      </c>
      <c r="D5" s="126" t="s">
        <v>190</v>
      </c>
      <c r="E5"/>
      <c r="F5"/>
      <c r="G5"/>
      <c r="H5"/>
      <c r="I5"/>
      <c r="J5"/>
      <c r="L5"/>
      <c r="M5" s="124"/>
      <c r="N5" s="124"/>
      <c r="O5" s="125">
        <f>1-(O4/'2026'!$F$6)</f>
        <v>0</v>
      </c>
      <c r="P5" s="126" t="s">
        <v>190</v>
      </c>
      <c r="Q5"/>
      <c r="R5"/>
      <c r="S5"/>
      <c r="T5"/>
      <c r="U5"/>
      <c r="V5"/>
      <c r="W5"/>
    </row>
    <row r="6" spans="1:23" ht="15.6" x14ac:dyDescent="0.3">
      <c r="A6"/>
      <c r="B6"/>
      <c r="C6"/>
      <c r="D6"/>
      <c r="E6"/>
      <c r="F6" s="127" t="s">
        <v>191</v>
      </c>
      <c r="G6" s="127"/>
      <c r="H6" s="127"/>
      <c r="I6"/>
      <c r="J6"/>
      <c r="L6"/>
      <c r="M6"/>
      <c r="N6"/>
      <c r="O6"/>
      <c r="P6"/>
      <c r="Q6"/>
      <c r="R6" s="143" t="s">
        <v>203</v>
      </c>
      <c r="S6" s="144"/>
      <c r="T6" s="144"/>
      <c r="U6" s="143"/>
      <c r="V6" s="143"/>
      <c r="W6"/>
    </row>
    <row r="7" spans="1:23" ht="15.6" x14ac:dyDescent="0.3">
      <c r="A7"/>
      <c r="B7"/>
      <c r="C7"/>
      <c r="D7"/>
      <c r="E7"/>
      <c r="F7" s="128" t="s">
        <v>192</v>
      </c>
      <c r="G7" s="129" t="s">
        <v>193</v>
      </c>
      <c r="H7" s="130" t="s">
        <v>194</v>
      </c>
      <c r="I7"/>
      <c r="J7"/>
      <c r="L7"/>
      <c r="M7"/>
      <c r="N7"/>
      <c r="O7"/>
      <c r="P7"/>
      <c r="Q7"/>
      <c r="R7"/>
      <c r="S7" s="128" t="s">
        <v>192</v>
      </c>
      <c r="T7" s="129" t="s">
        <v>193</v>
      </c>
      <c r="U7" s="130" t="s">
        <v>194</v>
      </c>
      <c r="V7"/>
      <c r="W7"/>
    </row>
    <row r="8" spans="1:23" x14ac:dyDescent="0.3">
      <c r="A8"/>
      <c r="B8" s="131" t="s">
        <v>195</v>
      </c>
      <c r="C8" s="132" t="s">
        <v>196</v>
      </c>
      <c r="D8" s="133" t="s">
        <v>197</v>
      </c>
      <c r="E8"/>
      <c r="F8" s="134">
        <f>0/100</f>
        <v>0</v>
      </c>
      <c r="G8" s="135">
        <f>7/100</f>
        <v>7.0000000000000007E-2</v>
      </c>
      <c r="H8" s="136">
        <v>180</v>
      </c>
      <c r="I8"/>
      <c r="J8"/>
      <c r="L8"/>
      <c r="M8"/>
      <c r="N8" s="131" t="s">
        <v>195</v>
      </c>
      <c r="O8" s="132" t="s">
        <v>196</v>
      </c>
      <c r="P8" s="133" t="s">
        <v>197</v>
      </c>
      <c r="Q8"/>
      <c r="R8" s="145">
        <v>0</v>
      </c>
      <c r="S8" s="134">
        <f>0/100</f>
        <v>0</v>
      </c>
      <c r="T8" s="141">
        <v>0.01</v>
      </c>
      <c r="U8" s="136">
        <v>176</v>
      </c>
      <c r="V8"/>
      <c r="W8"/>
    </row>
    <row r="9" spans="1:23" x14ac:dyDescent="0.3">
      <c r="A9" s="137" t="s">
        <v>198</v>
      </c>
      <c r="B9" s="138">
        <v>0</v>
      </c>
      <c r="C9" s="139">
        <f>C5*100</f>
        <v>5.6777777777777816</v>
      </c>
      <c r="D9" s="137" t="s">
        <v>192</v>
      </c>
      <c r="E9" s="1"/>
      <c r="F9" s="134">
        <v>0.05</v>
      </c>
      <c r="G9" s="135">
        <f>5/100</f>
        <v>0.05</v>
      </c>
      <c r="H9" s="136">
        <f>H8-(H8*F9)</f>
        <v>171</v>
      </c>
      <c r="I9"/>
      <c r="J9"/>
      <c r="L9"/>
      <c r="M9" s="137" t="s">
        <v>198</v>
      </c>
      <c r="N9" s="138">
        <v>0</v>
      </c>
      <c r="O9" s="139">
        <f>O5*100</f>
        <v>0</v>
      </c>
      <c r="P9" s="137" t="s">
        <v>192</v>
      </c>
      <c r="Q9" s="1"/>
      <c r="R9" s="6">
        <v>0.1</v>
      </c>
      <c r="S9" s="134">
        <v>0.1</v>
      </c>
      <c r="T9" s="135">
        <v>7.0000000000000001E-3</v>
      </c>
      <c r="U9" s="136">
        <f>U8-(U8*S9)</f>
        <v>158.4</v>
      </c>
      <c r="V9"/>
      <c r="W9"/>
    </row>
    <row r="10" spans="1:23" x14ac:dyDescent="0.3">
      <c r="A10" s="137" t="s">
        <v>199</v>
      </c>
      <c r="B10" s="138">
        <v>8</v>
      </c>
      <c r="C10" s="139">
        <f>IF(C9&lt;=5,(C9-F8)/(B10-B9),              IF(AND(C9&gt;5,C9&lt;=8),(C9-F9)/(B10-B9),               IF(AND(C9&gt;8,C9&lt;=12),(C9-F10)/(B10-B9),                       "Procure seu Gestor")))</f>
        <v>0.70347222222222272</v>
      </c>
      <c r="D10" s="140" t="s">
        <v>200</v>
      </c>
      <c r="E10" s="1"/>
      <c r="F10" s="134">
        <v>0.08</v>
      </c>
      <c r="G10" s="135">
        <f>3/100</f>
        <v>0.03</v>
      </c>
      <c r="H10" s="136">
        <f>H8-(H8*F10)</f>
        <v>165.6</v>
      </c>
      <c r="I10"/>
      <c r="J10"/>
      <c r="L10"/>
      <c r="M10" s="137" t="s">
        <v>199</v>
      </c>
      <c r="N10" s="138">
        <v>20</v>
      </c>
      <c r="O10" s="139">
        <f>IF(O9&lt;=10,(O9-R8)/(N10-N9),              IF(AND(O9&gt;10,O9&lt;=20),(O9-R9)/(N10-N9),               IF(AND(O9&gt;20,O9&lt;=30),(O9-R10)/(N10-N9),                       "Procure seu Gestor")))</f>
        <v>0</v>
      </c>
      <c r="P10" s="140" t="s">
        <v>200</v>
      </c>
      <c r="Q10" s="1"/>
      <c r="R10" s="6">
        <v>0.2</v>
      </c>
      <c r="S10" s="134">
        <v>0.2</v>
      </c>
      <c r="T10" s="135">
        <v>5.0000000000000001E-3</v>
      </c>
      <c r="U10" s="136">
        <f>U8-(U8*S10)</f>
        <v>140.80000000000001</v>
      </c>
      <c r="V10"/>
      <c r="W10"/>
    </row>
    <row r="11" spans="1:23" x14ac:dyDescent="0.3">
      <c r="A11"/>
      <c r="B11" s="131" t="s">
        <v>201</v>
      </c>
      <c r="C11" s="132" t="s">
        <v>196</v>
      </c>
      <c r="D11" s="133" t="s">
        <v>197</v>
      </c>
      <c r="E11" s="1"/>
      <c r="F11" s="134">
        <v>0.12</v>
      </c>
      <c r="G11" s="135">
        <f>1/100</f>
        <v>0.01</v>
      </c>
      <c r="H11" s="136">
        <f>H8-(H8*F11)</f>
        <v>158.4</v>
      </c>
      <c r="I11"/>
      <c r="J11"/>
      <c r="L11"/>
      <c r="M11"/>
      <c r="N11" s="131" t="s">
        <v>201</v>
      </c>
      <c r="O11" s="132" t="s">
        <v>196</v>
      </c>
      <c r="P11" s="133" t="s">
        <v>197</v>
      </c>
      <c r="Q11" s="1"/>
      <c r="R11" s="6">
        <v>0.3</v>
      </c>
      <c r="S11" s="134">
        <v>0.3</v>
      </c>
      <c r="T11" s="135">
        <v>2.5000000000000001E-3</v>
      </c>
      <c r="U11" s="136">
        <f>U8-(U8*S11)</f>
        <v>123.2</v>
      </c>
      <c r="V11"/>
      <c r="W11"/>
    </row>
    <row r="12" spans="1:23" x14ac:dyDescent="0.3">
      <c r="A12"/>
      <c r="B12" s="138">
        <v>5</v>
      </c>
      <c r="C12" s="137"/>
      <c r="D12" s="137"/>
      <c r="E12"/>
      <c r="F12" s="62" t="s">
        <v>213</v>
      </c>
      <c r="G12" s="62"/>
      <c r="H12" s="62"/>
      <c r="I12"/>
      <c r="J12"/>
      <c r="L12"/>
      <c r="M12"/>
      <c r="N12" s="138">
        <v>1</v>
      </c>
      <c r="O12" s="137"/>
      <c r="P12" s="137"/>
      <c r="Q12"/>
      <c r="R12" s="62" t="s">
        <v>212</v>
      </c>
      <c r="S12"/>
      <c r="T12"/>
      <c r="U12"/>
      <c r="V12"/>
      <c r="W12"/>
    </row>
    <row r="13" spans="1:23" x14ac:dyDescent="0.3">
      <c r="A13"/>
      <c r="B13" s="138">
        <v>3</v>
      </c>
      <c r="C13" s="139">
        <f>B13-B12</f>
        <v>-2</v>
      </c>
      <c r="D13" s="137" t="s">
        <v>202</v>
      </c>
      <c r="E13"/>
      <c r="F13"/>
      <c r="G13"/>
      <c r="H13"/>
      <c r="I13"/>
      <c r="J13"/>
      <c r="L13"/>
      <c r="M13"/>
      <c r="N13" s="138">
        <v>0.5</v>
      </c>
      <c r="O13" s="139">
        <f>N13-N12</f>
        <v>-0.5</v>
      </c>
      <c r="P13" s="137" t="s">
        <v>202</v>
      </c>
      <c r="Q13"/>
      <c r="R13"/>
      <c r="S13"/>
      <c r="T13"/>
      <c r="U13"/>
      <c r="V13"/>
      <c r="W13"/>
    </row>
    <row r="14" spans="1:23" x14ac:dyDescent="0.3">
      <c r="A14"/>
      <c r="B14" s="1"/>
      <c r="C14"/>
      <c r="D14"/>
      <c r="E14"/>
      <c r="F14"/>
      <c r="G14"/>
      <c r="H14"/>
      <c r="I14"/>
      <c r="J14"/>
      <c r="L14"/>
      <c r="M14"/>
      <c r="N14" s="1"/>
      <c r="O14"/>
      <c r="P14"/>
      <c r="Q14"/>
      <c r="R14"/>
      <c r="S14"/>
      <c r="T14"/>
      <c r="U14"/>
      <c r="V14"/>
      <c r="W14"/>
    </row>
    <row r="15" spans="1:23" x14ac:dyDescent="0.3">
      <c r="A15"/>
      <c r="B15"/>
      <c r="C15"/>
      <c r="D15"/>
      <c r="E15" s="62"/>
      <c r="F15"/>
      <c r="G15"/>
      <c r="H15"/>
      <c r="I15"/>
      <c r="J15"/>
      <c r="L15"/>
      <c r="M15"/>
      <c r="N15"/>
      <c r="O15"/>
      <c r="P15"/>
      <c r="Q15" s="62"/>
      <c r="R15"/>
      <c r="S15"/>
      <c r="T15"/>
      <c r="U15"/>
      <c r="V15"/>
      <c r="W15"/>
    </row>
    <row r="16" spans="1:23" x14ac:dyDescent="0.3">
      <c r="A16" s="1"/>
      <c r="B16"/>
      <c r="C16"/>
      <c r="D16"/>
      <c r="E16"/>
      <c r="F16"/>
      <c r="G16"/>
      <c r="H16"/>
      <c r="I16"/>
      <c r="J16"/>
      <c r="L16"/>
      <c r="M16" s="1"/>
      <c r="N16"/>
      <c r="O16"/>
      <c r="P16"/>
      <c r="Q16"/>
      <c r="R16"/>
      <c r="S16"/>
      <c r="T16"/>
      <c r="U16"/>
      <c r="V16"/>
      <c r="W16"/>
    </row>
    <row r="17" spans="1:23" x14ac:dyDescent="0.3">
      <c r="A17" s="1"/>
      <c r="B17"/>
      <c r="C17"/>
      <c r="D17"/>
      <c r="E17"/>
      <c r="F17"/>
      <c r="G17"/>
      <c r="H17"/>
      <c r="I17"/>
      <c r="J17"/>
      <c r="L17"/>
      <c r="M17" s="1"/>
      <c r="N17"/>
      <c r="O17"/>
      <c r="P17"/>
      <c r="Q17"/>
      <c r="R17"/>
      <c r="S17"/>
      <c r="T17"/>
      <c r="U17"/>
      <c r="V17"/>
      <c r="W17"/>
    </row>
    <row r="18" spans="1:23" x14ac:dyDescent="0.3">
      <c r="A18" s="1"/>
      <c r="B18"/>
      <c r="C18"/>
      <c r="D18"/>
      <c r="E18"/>
      <c r="F18"/>
      <c r="G18"/>
      <c r="H18"/>
      <c r="I18"/>
      <c r="J18"/>
      <c r="L18"/>
      <c r="M18" s="1"/>
      <c r="N18"/>
      <c r="O18"/>
      <c r="P18"/>
      <c r="Q18"/>
      <c r="R18"/>
      <c r="S18"/>
      <c r="T18"/>
      <c r="U18"/>
      <c r="V18"/>
      <c r="W18"/>
    </row>
    <row r="19" spans="1:23" x14ac:dyDescent="0.3">
      <c r="A19" s="380" t="s">
        <v>204</v>
      </c>
      <c r="B19" s="381"/>
      <c r="C19" s="142">
        <f>IFERROR(B12+(C10*C13),"Procure seu Gestor")</f>
        <v>3.5930555555555546</v>
      </c>
      <c r="D19" s="137" t="s">
        <v>205</v>
      </c>
      <c r="E19"/>
      <c r="F19"/>
      <c r="G19"/>
      <c r="H19"/>
      <c r="I19"/>
      <c r="J19"/>
      <c r="L19"/>
      <c r="M19" s="380" t="s">
        <v>204</v>
      </c>
      <c r="N19" s="381"/>
      <c r="O19" s="142">
        <f>IFERROR(N12+(O10*O13),"Procure seu Gestor")</f>
        <v>1</v>
      </c>
      <c r="P19" s="137" t="s">
        <v>205</v>
      </c>
      <c r="Q19"/>
      <c r="R19"/>
      <c r="S19"/>
      <c r="T19"/>
      <c r="U19"/>
      <c r="V19"/>
      <c r="W19"/>
    </row>
    <row r="20" spans="1:23" x14ac:dyDescent="0.3">
      <c r="A20"/>
      <c r="B20"/>
      <c r="C20"/>
      <c r="D20"/>
      <c r="E20"/>
      <c r="F20"/>
      <c r="G20"/>
      <c r="H20"/>
      <c r="I20"/>
      <c r="J20"/>
      <c r="L20"/>
      <c r="M20"/>
      <c r="N20"/>
      <c r="O20"/>
      <c r="P20"/>
      <c r="Q20"/>
      <c r="R20"/>
      <c r="S20"/>
      <c r="T20"/>
      <c r="U20"/>
      <c r="V20"/>
      <c r="W20"/>
    </row>
    <row r="21" spans="1:23" x14ac:dyDescent="0.3">
      <c r="A21"/>
      <c r="B21"/>
      <c r="C21"/>
      <c r="D21"/>
      <c r="E21"/>
      <c r="F21"/>
      <c r="G21"/>
      <c r="H21"/>
      <c r="I21"/>
      <c r="J21"/>
      <c r="L21"/>
      <c r="M21"/>
      <c r="N21"/>
      <c r="O21"/>
      <c r="P21"/>
      <c r="Q21"/>
      <c r="R21"/>
      <c r="S21"/>
      <c r="T21"/>
      <c r="U21"/>
      <c r="V21"/>
      <c r="W21"/>
    </row>
    <row r="22" spans="1:23" x14ac:dyDescent="0.3">
      <c r="A22"/>
      <c r="B22"/>
      <c r="C22"/>
      <c r="D22"/>
      <c r="E22"/>
      <c r="F22"/>
      <c r="G22"/>
      <c r="H22"/>
      <c r="I22"/>
      <c r="J22"/>
      <c r="L22"/>
      <c r="M22"/>
      <c r="N22"/>
      <c r="O22"/>
      <c r="P22"/>
      <c r="Q22"/>
      <c r="R22"/>
      <c r="S22"/>
      <c r="T22"/>
      <c r="U22"/>
      <c r="V22"/>
      <c r="W22"/>
    </row>
    <row r="23" spans="1:23" x14ac:dyDescent="0.3">
      <c r="A23"/>
      <c r="B23"/>
      <c r="C23"/>
      <c r="D23"/>
      <c r="E23"/>
      <c r="F23"/>
      <c r="G23"/>
      <c r="H23"/>
      <c r="I23"/>
      <c r="J23"/>
      <c r="L23"/>
      <c r="M23"/>
      <c r="N23"/>
      <c r="O23"/>
      <c r="P23"/>
      <c r="Q23"/>
      <c r="R23"/>
      <c r="S23"/>
      <c r="T23"/>
      <c r="U23"/>
      <c r="V23"/>
      <c r="W23"/>
    </row>
    <row r="24" spans="1:23" x14ac:dyDescent="0.3">
      <c r="A24"/>
      <c r="B24"/>
      <c r="C24"/>
      <c r="D24"/>
      <c r="E24"/>
      <c r="F24"/>
      <c r="G24"/>
      <c r="H24"/>
      <c r="I24"/>
      <c r="J24"/>
      <c r="L24"/>
      <c r="M24"/>
      <c r="N24"/>
      <c r="O24"/>
      <c r="P24"/>
      <c r="Q24"/>
      <c r="R24"/>
      <c r="S24"/>
      <c r="T24"/>
      <c r="U24"/>
      <c r="V24"/>
      <c r="W24"/>
    </row>
  </sheetData>
  <mergeCells count="6">
    <mergeCell ref="A3:B3"/>
    <mergeCell ref="A19:B19"/>
    <mergeCell ref="M3:N3"/>
    <mergeCell ref="M19:N19"/>
    <mergeCell ref="L1:W1"/>
    <mergeCell ref="A1:J1"/>
  </mergeCells>
  <conditionalFormatting sqref="C19">
    <cfRule type="containsText" dxfId="1" priority="2" operator="containsText" text="Procure seu Gestor">
      <formula>NOT(ISERROR(SEARCH("Procure seu Gestor",C19)))</formula>
    </cfRule>
  </conditionalFormatting>
  <conditionalFormatting sqref="O19">
    <cfRule type="containsText" dxfId="0" priority="1" operator="containsText" text="Procure seu Gestor">
      <formula>NOT(ISERROR(SEARCH("Procure seu Gestor",O19)))</formula>
    </cfRule>
  </conditionalFormatting>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0821-9B64-4932-9A91-91E68FD7905C}">
  <dimension ref="A1:Q10"/>
  <sheetViews>
    <sheetView showGridLines="0" workbookViewId="0">
      <selection activeCell="C15" sqref="C15"/>
    </sheetView>
  </sheetViews>
  <sheetFormatPr defaultRowHeight="14.4" x14ac:dyDescent="0.3"/>
  <cols>
    <col min="1" max="1" width="51" bestFit="1" customWidth="1"/>
    <col min="2" max="2" width="5.88671875" bestFit="1" customWidth="1"/>
    <col min="3" max="3" width="18.33203125" bestFit="1" customWidth="1"/>
    <col min="4" max="4" width="15.109375" bestFit="1" customWidth="1"/>
    <col min="5" max="5" width="23.33203125" bestFit="1" customWidth="1"/>
    <col min="7" max="7" width="12" customWidth="1"/>
    <col min="8" max="8" width="26.33203125" customWidth="1"/>
    <col min="9" max="9" width="14.44140625" customWidth="1"/>
    <col min="10" max="10" width="15.5546875" customWidth="1"/>
    <col min="11" max="12" width="17.33203125" bestFit="1" customWidth="1"/>
    <col min="15" max="15" width="30.6640625" customWidth="1"/>
    <col min="16" max="16" width="15.5546875" bestFit="1" customWidth="1"/>
    <col min="17" max="17" width="19" bestFit="1" customWidth="1"/>
  </cols>
  <sheetData>
    <row r="1" spans="1:17" x14ac:dyDescent="0.3">
      <c r="A1" s="376" t="s">
        <v>306</v>
      </c>
      <c r="B1" s="376"/>
      <c r="C1" s="376"/>
      <c r="D1" s="376"/>
      <c r="E1" s="376"/>
    </row>
    <row r="2" spans="1:17" x14ac:dyDescent="0.3">
      <c r="K2" s="325"/>
      <c r="L2" s="325"/>
      <c r="M2" s="325"/>
      <c r="N2" s="62"/>
      <c r="O2" s="62"/>
    </row>
    <row r="3" spans="1:17" x14ac:dyDescent="0.3">
      <c r="A3" s="374" t="s">
        <v>361</v>
      </c>
      <c r="B3" s="374"/>
      <c r="C3" s="374"/>
      <c r="D3" s="374"/>
      <c r="E3" s="374"/>
      <c r="G3" s="375" t="s">
        <v>362</v>
      </c>
      <c r="H3" s="375"/>
      <c r="I3" s="375"/>
      <c r="J3" s="375"/>
      <c r="K3" s="375"/>
      <c r="L3" s="325"/>
      <c r="M3" s="325"/>
      <c r="N3" s="62"/>
      <c r="O3" s="359" t="s">
        <v>367</v>
      </c>
    </row>
    <row r="4" spans="1:17" x14ac:dyDescent="0.3">
      <c r="A4" s="319" t="s">
        <v>282</v>
      </c>
      <c r="B4" s="319" t="s">
        <v>122</v>
      </c>
      <c r="C4" s="319" t="s">
        <v>25</v>
      </c>
      <c r="D4" s="319" t="s">
        <v>307</v>
      </c>
      <c r="E4" s="319" t="s">
        <v>308</v>
      </c>
      <c r="G4" s="327" t="s">
        <v>316</v>
      </c>
      <c r="H4" s="345" t="s">
        <v>364</v>
      </c>
      <c r="I4" s="345">
        <v>5</v>
      </c>
      <c r="J4" s="330" t="s">
        <v>320</v>
      </c>
      <c r="K4" s="330" t="s">
        <v>319</v>
      </c>
      <c r="L4" s="325"/>
      <c r="M4" s="325"/>
      <c r="N4" s="62"/>
      <c r="O4" s="360" t="s">
        <v>368</v>
      </c>
      <c r="P4" s="361" t="s">
        <v>315</v>
      </c>
      <c r="Q4" s="362">
        <v>2524.7199999999998</v>
      </c>
    </row>
    <row r="5" spans="1:17" x14ac:dyDescent="0.3">
      <c r="A5" s="320" t="s">
        <v>309</v>
      </c>
      <c r="B5" s="321">
        <v>1</v>
      </c>
      <c r="C5" s="322">
        <v>1434.5</v>
      </c>
      <c r="D5" s="322">
        <v>286.89999999999998</v>
      </c>
      <c r="E5" s="322">
        <f>C5-D5</f>
        <v>1147.5999999999999</v>
      </c>
      <c r="G5" s="346">
        <v>2.2000000000000002</v>
      </c>
      <c r="H5" s="347" t="s">
        <v>314</v>
      </c>
      <c r="I5" s="348" t="s">
        <v>315</v>
      </c>
      <c r="J5" s="349">
        <f>E5</f>
        <v>1147.5999999999999</v>
      </c>
      <c r="K5" s="350">
        <f>G5*J5</f>
        <v>2524.7199999999998</v>
      </c>
      <c r="L5" s="325" t="str">
        <f>IF($I$4&lt;11,"USE ESSE VALOR","OUTRA FAIXA")</f>
        <v>USE ESSE VALOR</v>
      </c>
      <c r="M5" s="325"/>
      <c r="N5" s="62"/>
      <c r="O5" s="363" t="s">
        <v>369</v>
      </c>
      <c r="P5" s="364" t="s">
        <v>315</v>
      </c>
      <c r="Q5" s="365">
        <v>3844.54</v>
      </c>
    </row>
    <row r="6" spans="1:17" x14ac:dyDescent="0.3">
      <c r="A6" s="320" t="s">
        <v>310</v>
      </c>
      <c r="B6" s="321">
        <v>1</v>
      </c>
      <c r="C6" s="322">
        <v>2184.4</v>
      </c>
      <c r="D6" s="322">
        <v>436.88</v>
      </c>
      <c r="E6" s="322">
        <f t="shared" ref="E6:E7" si="0">C6-D6</f>
        <v>1747.52</v>
      </c>
      <c r="G6" s="328">
        <v>2.2000000000000002</v>
      </c>
      <c r="H6" s="326" t="s">
        <v>317</v>
      </c>
      <c r="I6" s="325" t="s">
        <v>315</v>
      </c>
      <c r="J6" s="329">
        <f>E6</f>
        <v>1747.52</v>
      </c>
      <c r="K6" s="356">
        <f>G6*J6</f>
        <v>3844.5440000000003</v>
      </c>
      <c r="L6" s="325" t="e" cm="1">
        <f t="array" ref="L6">IF(K15I4&gt;10,IF(I4&lt;24,"USE ESSE VALOR"),"OUTRA FAIXA"),IF(I4&gt;24,"OUTRA FAIXA")</f>
        <v>#NAME?</v>
      </c>
      <c r="M6" s="325"/>
      <c r="N6" s="62"/>
      <c r="O6" s="366" t="s">
        <v>370</v>
      </c>
      <c r="P6" s="367" t="s">
        <v>315</v>
      </c>
      <c r="Q6" s="368">
        <v>6308.9</v>
      </c>
    </row>
    <row r="7" spans="1:17" x14ac:dyDescent="0.3">
      <c r="A7" s="320" t="s">
        <v>311</v>
      </c>
      <c r="B7" s="321">
        <v>1</v>
      </c>
      <c r="C7" s="322">
        <v>3584.6</v>
      </c>
      <c r="D7" s="322">
        <v>716.92</v>
      </c>
      <c r="E7" s="322">
        <f t="shared" si="0"/>
        <v>2867.68</v>
      </c>
      <c r="G7" s="351">
        <v>2.2000000000000002</v>
      </c>
      <c r="H7" s="352" t="s">
        <v>318</v>
      </c>
      <c r="I7" s="353" t="s">
        <v>315</v>
      </c>
      <c r="J7" s="354">
        <f>E7</f>
        <v>2867.68</v>
      </c>
      <c r="K7" s="355">
        <f>G7*J7</f>
        <v>6308.8959999999997</v>
      </c>
      <c r="L7" s="325" t="str">
        <f>IF(I4&gt;=24,"USE ESSE VALOR","OUTRA FAIXA")</f>
        <v>OUTRA FAIXA</v>
      </c>
      <c r="O7" s="358" t="s">
        <v>366</v>
      </c>
    </row>
    <row r="8" spans="1:17" x14ac:dyDescent="0.3">
      <c r="H8" s="324" t="s">
        <v>313</v>
      </c>
    </row>
    <row r="9" spans="1:17" x14ac:dyDescent="0.3">
      <c r="D9" s="92" t="s">
        <v>122</v>
      </c>
      <c r="H9" s="324"/>
    </row>
    <row r="10" spans="1:17" x14ac:dyDescent="0.3">
      <c r="A10" s="320" t="s">
        <v>371</v>
      </c>
      <c r="B10" s="369">
        <v>1</v>
      </c>
      <c r="C10" s="370">
        <v>130</v>
      </c>
      <c r="D10" s="370">
        <v>5</v>
      </c>
      <c r="E10" s="371">
        <f>C10*D10</f>
        <v>650</v>
      </c>
      <c r="G10" s="372">
        <v>2.2000000000000002</v>
      </c>
      <c r="H10" s="373">
        <f>E10*G10</f>
        <v>1430.0000000000002</v>
      </c>
    </row>
  </sheetData>
  <mergeCells count="3">
    <mergeCell ref="A3:E3"/>
    <mergeCell ref="G3:K3"/>
    <mergeCell ref="A1:E1"/>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34A3-88ED-420E-ADD3-B91A28924B1C}">
  <dimension ref="A1:O71"/>
  <sheetViews>
    <sheetView showGridLines="0" topLeftCell="B48" workbookViewId="0">
      <selection activeCell="K64" sqref="K64"/>
    </sheetView>
  </sheetViews>
  <sheetFormatPr defaultRowHeight="14.4" x14ac:dyDescent="0.3"/>
  <cols>
    <col min="1" max="1" width="51" bestFit="1" customWidth="1"/>
    <col min="2" max="2" width="5.88671875" bestFit="1" customWidth="1"/>
    <col min="3" max="3" width="18.33203125" bestFit="1" customWidth="1"/>
    <col min="4" max="4" width="15.109375" bestFit="1" customWidth="1"/>
    <col min="5" max="5" width="23.33203125" bestFit="1" customWidth="1"/>
    <col min="7" max="7" width="12" customWidth="1"/>
    <col min="8" max="8" width="26.33203125" customWidth="1"/>
    <col min="9" max="9" width="14.44140625" customWidth="1"/>
    <col min="10" max="10" width="15.5546875" customWidth="1"/>
    <col min="11" max="11" width="17.6640625" bestFit="1" customWidth="1"/>
  </cols>
  <sheetData>
    <row r="1" spans="1:15" x14ac:dyDescent="0.3">
      <c r="A1" s="376" t="s">
        <v>306</v>
      </c>
      <c r="B1" s="376"/>
      <c r="C1" s="376"/>
      <c r="D1" s="376"/>
      <c r="E1" s="376"/>
    </row>
    <row r="2" spans="1:15" x14ac:dyDescent="0.3">
      <c r="K2" s="325"/>
      <c r="L2" s="325"/>
      <c r="M2" s="325"/>
      <c r="N2" s="62"/>
      <c r="O2" s="62"/>
    </row>
    <row r="3" spans="1:15" x14ac:dyDescent="0.3">
      <c r="A3" s="319" t="s">
        <v>282</v>
      </c>
      <c r="B3" s="319" t="s">
        <v>122</v>
      </c>
      <c r="C3" s="319" t="s">
        <v>25</v>
      </c>
      <c r="D3" s="319" t="s">
        <v>307</v>
      </c>
      <c r="E3" s="319" t="s">
        <v>308</v>
      </c>
      <c r="G3" s="327" t="s">
        <v>316</v>
      </c>
      <c r="H3" s="330" t="s">
        <v>312</v>
      </c>
      <c r="I3" s="331"/>
      <c r="J3" s="330" t="s">
        <v>320</v>
      </c>
      <c r="K3" s="330" t="s">
        <v>319</v>
      </c>
      <c r="L3" s="325"/>
      <c r="M3" s="325"/>
      <c r="N3" s="62"/>
      <c r="O3" s="62"/>
    </row>
    <row r="4" spans="1:15" x14ac:dyDescent="0.3">
      <c r="A4" s="320" t="s">
        <v>309</v>
      </c>
      <c r="B4" s="321">
        <v>1</v>
      </c>
      <c r="C4" s="322">
        <v>1434.5</v>
      </c>
      <c r="D4" s="322">
        <v>286.89999999999998</v>
      </c>
      <c r="E4" s="322">
        <f>C4-D4</f>
        <v>1147.5999999999999</v>
      </c>
      <c r="G4" s="328">
        <v>2.2000000000000002</v>
      </c>
      <c r="H4" s="326" t="s">
        <v>314</v>
      </c>
      <c r="I4" s="325" t="s">
        <v>315</v>
      </c>
      <c r="J4" s="332">
        <f>E4*G4</f>
        <v>2524.7199999999998</v>
      </c>
      <c r="K4" s="329">
        <v>3098.52</v>
      </c>
      <c r="L4" s="325"/>
      <c r="M4" s="325"/>
      <c r="N4" s="62"/>
      <c r="O4" s="62"/>
    </row>
    <row r="5" spans="1:15" x14ac:dyDescent="0.3">
      <c r="A5" s="320" t="s">
        <v>310</v>
      </c>
      <c r="B5" s="321">
        <v>1</v>
      </c>
      <c r="C5" s="322">
        <v>2184.4</v>
      </c>
      <c r="D5" s="322">
        <v>436.88</v>
      </c>
      <c r="E5" s="322">
        <f t="shared" ref="E5:E6" si="0">C5-D5</f>
        <v>1747.52</v>
      </c>
      <c r="G5" s="328">
        <v>2.2000000000000002</v>
      </c>
      <c r="H5" s="333" t="s">
        <v>317</v>
      </c>
      <c r="I5" s="334" t="s">
        <v>315</v>
      </c>
      <c r="J5" s="335">
        <f t="shared" ref="J5:J6" si="1">E5*G5</f>
        <v>3844.5440000000003</v>
      </c>
      <c r="K5" s="335">
        <v>4718.3040000000001</v>
      </c>
      <c r="L5" s="325"/>
      <c r="M5" s="325"/>
      <c r="N5" s="62"/>
      <c r="O5" s="62"/>
    </row>
    <row r="6" spans="1:15" x14ac:dyDescent="0.3">
      <c r="A6" s="320" t="s">
        <v>311</v>
      </c>
      <c r="B6" s="321">
        <v>1</v>
      </c>
      <c r="C6" s="322">
        <v>3584.6</v>
      </c>
      <c r="D6" s="322">
        <v>716.92</v>
      </c>
      <c r="E6" s="322">
        <f t="shared" si="0"/>
        <v>2867.68</v>
      </c>
      <c r="G6" s="328">
        <v>2.2000000000000002</v>
      </c>
      <c r="H6" s="326" t="s">
        <v>318</v>
      </c>
      <c r="I6" s="325" t="s">
        <v>315</v>
      </c>
      <c r="J6" s="332">
        <f t="shared" si="1"/>
        <v>6308.8959999999997</v>
      </c>
      <c r="K6" s="318">
        <v>7742.7359999999999</v>
      </c>
    </row>
    <row r="7" spans="1:15" x14ac:dyDescent="0.3">
      <c r="H7" s="324" t="s">
        <v>313</v>
      </c>
    </row>
    <row r="9" spans="1:15" x14ac:dyDescent="0.3">
      <c r="A9" s="319" t="s">
        <v>282</v>
      </c>
      <c r="B9" s="319" t="s">
        <v>122</v>
      </c>
      <c r="C9" s="319" t="s">
        <v>25</v>
      </c>
      <c r="D9" s="319" t="s">
        <v>307</v>
      </c>
      <c r="E9" s="319" t="s">
        <v>308</v>
      </c>
      <c r="G9" s="383" t="s">
        <v>324</v>
      </c>
      <c r="H9" s="384"/>
      <c r="I9" s="384"/>
      <c r="L9" s="325"/>
      <c r="M9" s="325"/>
    </row>
    <row r="10" spans="1:15" x14ac:dyDescent="0.3">
      <c r="A10" s="320" t="s">
        <v>309</v>
      </c>
      <c r="B10" s="321">
        <v>1</v>
      </c>
      <c r="C10" s="322">
        <v>1434.5</v>
      </c>
      <c r="D10" s="322">
        <v>286.89999999999998</v>
      </c>
      <c r="E10" s="322">
        <f>C10-D10</f>
        <v>1147.5999999999999</v>
      </c>
      <c r="G10" s="327" t="s">
        <v>316</v>
      </c>
      <c r="H10" s="330" t="s">
        <v>321</v>
      </c>
      <c r="I10" s="331"/>
      <c r="J10" s="330" t="s">
        <v>322</v>
      </c>
      <c r="K10" s="330" t="s">
        <v>319</v>
      </c>
      <c r="L10" s="325"/>
      <c r="M10" s="325"/>
    </row>
    <row r="11" spans="1:15" x14ac:dyDescent="0.3">
      <c r="A11" s="320" t="s">
        <v>310</v>
      </c>
      <c r="B11" s="321">
        <v>1</v>
      </c>
      <c r="C11" s="322">
        <v>2184.4</v>
      </c>
      <c r="D11" s="322">
        <v>436.88</v>
      </c>
      <c r="E11" s="322">
        <f t="shared" ref="E11:E12" si="2">C11-D11</f>
        <v>1747.52</v>
      </c>
      <c r="G11" s="328">
        <v>2.2000000000000002</v>
      </c>
      <c r="H11" s="326" t="s">
        <v>314</v>
      </c>
      <c r="I11" s="325" t="s">
        <v>315</v>
      </c>
      <c r="J11" s="332">
        <f>E10</f>
        <v>1147.5999999999999</v>
      </c>
      <c r="K11" s="329">
        <f>E10*G11</f>
        <v>2524.7199999999998</v>
      </c>
      <c r="L11" s="325"/>
      <c r="M11" s="325"/>
    </row>
    <row r="12" spans="1:15" x14ac:dyDescent="0.3">
      <c r="A12" s="320" t="s">
        <v>311</v>
      </c>
      <c r="B12" s="321">
        <v>1</v>
      </c>
      <c r="C12" s="322">
        <v>3584.6</v>
      </c>
      <c r="D12" s="322">
        <v>716.92</v>
      </c>
      <c r="E12" s="322">
        <f t="shared" si="2"/>
        <v>2867.68</v>
      </c>
      <c r="G12" s="328">
        <v>2.2000000000000002</v>
      </c>
      <c r="H12" s="333" t="s">
        <v>317</v>
      </c>
      <c r="I12" s="334" t="s">
        <v>315</v>
      </c>
      <c r="J12" s="335">
        <f>E11</f>
        <v>1747.52</v>
      </c>
      <c r="K12" s="335">
        <f>E11*G12</f>
        <v>3844.5440000000003</v>
      </c>
    </row>
    <row r="13" spans="1:15" x14ac:dyDescent="0.3">
      <c r="G13" s="328">
        <v>2.2000000000000002</v>
      </c>
      <c r="H13" s="326" t="s">
        <v>318</v>
      </c>
      <c r="I13" s="325" t="s">
        <v>315</v>
      </c>
      <c r="J13" s="332">
        <f>E12</f>
        <v>2867.68</v>
      </c>
      <c r="K13" s="329">
        <f>E12*G13</f>
        <v>6308.8959999999997</v>
      </c>
    </row>
    <row r="14" spans="1:15" x14ac:dyDescent="0.3">
      <c r="H14" s="336" t="s">
        <v>323</v>
      </c>
    </row>
    <row r="16" spans="1:15" x14ac:dyDescent="0.3">
      <c r="A16" s="319" t="s">
        <v>282</v>
      </c>
      <c r="B16" s="319" t="s">
        <v>122</v>
      </c>
      <c r="C16" s="319" t="s">
        <v>25</v>
      </c>
      <c r="D16" s="319" t="s">
        <v>307</v>
      </c>
      <c r="E16" s="319" t="s">
        <v>308</v>
      </c>
      <c r="G16" s="383" t="s">
        <v>325</v>
      </c>
      <c r="H16" s="384"/>
      <c r="I16" s="384"/>
    </row>
    <row r="17" spans="1:11" x14ac:dyDescent="0.3">
      <c r="A17" s="320" t="s">
        <v>309</v>
      </c>
      <c r="B17" s="321">
        <v>1</v>
      </c>
      <c r="C17" s="322">
        <v>1434.5</v>
      </c>
      <c r="D17" s="322">
        <v>286.89999999999998</v>
      </c>
      <c r="E17" s="322">
        <f>C17-D17</f>
        <v>1147.5999999999999</v>
      </c>
      <c r="G17" s="327" t="s">
        <v>316</v>
      </c>
      <c r="H17" s="330" t="s">
        <v>326</v>
      </c>
      <c r="I17" s="331"/>
      <c r="J17" s="330" t="s">
        <v>322</v>
      </c>
      <c r="K17" s="330" t="s">
        <v>319</v>
      </c>
    </row>
    <row r="18" spans="1:11" x14ac:dyDescent="0.3">
      <c r="A18" s="320" t="s">
        <v>310</v>
      </c>
      <c r="B18" s="321">
        <v>1</v>
      </c>
      <c r="C18" s="322">
        <v>2184.4</v>
      </c>
      <c r="D18" s="322">
        <v>436.88</v>
      </c>
      <c r="E18" s="322">
        <f t="shared" ref="E18:E19" si="3">C18-D18</f>
        <v>1747.52</v>
      </c>
      <c r="G18" s="328">
        <v>2.2000000000000002</v>
      </c>
      <c r="H18" s="326" t="s">
        <v>314</v>
      </c>
      <c r="I18" s="325" t="s">
        <v>315</v>
      </c>
      <c r="J18" s="332">
        <f>E17</f>
        <v>1147.5999999999999</v>
      </c>
      <c r="K18" s="329">
        <f>E17*G18</f>
        <v>2524.7199999999998</v>
      </c>
    </row>
    <row r="19" spans="1:11" x14ac:dyDescent="0.3">
      <c r="A19" s="320" t="s">
        <v>311</v>
      </c>
      <c r="B19" s="321">
        <v>1</v>
      </c>
      <c r="C19" s="322">
        <v>3584.6</v>
      </c>
      <c r="D19" s="322">
        <v>716.92</v>
      </c>
      <c r="E19" s="322">
        <f t="shared" si="3"/>
        <v>2867.68</v>
      </c>
      <c r="G19" s="328">
        <v>2.2000000000000002</v>
      </c>
      <c r="H19" s="333" t="s">
        <v>317</v>
      </c>
      <c r="I19" s="334" t="s">
        <v>315</v>
      </c>
      <c r="J19" s="335">
        <f>E18</f>
        <v>1747.52</v>
      </c>
      <c r="K19" s="335">
        <f>E18*G19</f>
        <v>3844.5440000000003</v>
      </c>
    </row>
    <row r="20" spans="1:11" x14ac:dyDescent="0.3">
      <c r="G20" s="328">
        <v>2.2000000000000002</v>
      </c>
      <c r="H20" s="326" t="s">
        <v>318</v>
      </c>
      <c r="I20" s="325" t="s">
        <v>315</v>
      </c>
      <c r="J20" s="332">
        <f>E19</f>
        <v>2867.68</v>
      </c>
      <c r="K20" s="329">
        <f>E19*G20</f>
        <v>6308.8959999999997</v>
      </c>
    </row>
    <row r="21" spans="1:11" x14ac:dyDescent="0.3">
      <c r="H21" s="336" t="s">
        <v>323</v>
      </c>
    </row>
    <row r="23" spans="1:11" x14ac:dyDescent="0.3">
      <c r="A23" s="319" t="s">
        <v>282</v>
      </c>
      <c r="B23" s="319" t="s">
        <v>122</v>
      </c>
      <c r="C23" s="319" t="s">
        <v>25</v>
      </c>
      <c r="D23" s="319" t="s">
        <v>307</v>
      </c>
      <c r="E23" s="319" t="s">
        <v>308</v>
      </c>
      <c r="G23" s="383" t="s">
        <v>327</v>
      </c>
      <c r="H23" s="384"/>
      <c r="I23" s="384"/>
    </row>
    <row r="24" spans="1:11" x14ac:dyDescent="0.3">
      <c r="A24" s="320" t="s">
        <v>309</v>
      </c>
      <c r="B24" s="321">
        <v>1</v>
      </c>
      <c r="C24" s="322">
        <v>1434.5</v>
      </c>
      <c r="D24" s="322">
        <v>286.89999999999998</v>
      </c>
      <c r="E24" s="322">
        <f>C24-D24</f>
        <v>1147.5999999999999</v>
      </c>
      <c r="G24" s="327" t="s">
        <v>316</v>
      </c>
      <c r="H24" s="330" t="s">
        <v>328</v>
      </c>
      <c r="I24" s="331"/>
      <c r="J24" s="330" t="s">
        <v>322</v>
      </c>
      <c r="K24" s="330" t="s">
        <v>319</v>
      </c>
    </row>
    <row r="25" spans="1:11" x14ac:dyDescent="0.3">
      <c r="A25" s="320" t="s">
        <v>310</v>
      </c>
      <c r="B25" s="321">
        <v>1</v>
      </c>
      <c r="C25" s="322">
        <v>2184.4</v>
      </c>
      <c r="D25" s="322">
        <v>436.88</v>
      </c>
      <c r="E25" s="322">
        <f t="shared" ref="E25:E26" si="4">C25-D25</f>
        <v>1747.52</v>
      </c>
      <c r="G25" s="328">
        <v>2.2000000000000002</v>
      </c>
      <c r="H25" s="326" t="s">
        <v>314</v>
      </c>
      <c r="I25" s="325" t="s">
        <v>315</v>
      </c>
      <c r="J25" s="332">
        <f>E24</f>
        <v>1147.5999999999999</v>
      </c>
      <c r="K25" s="329">
        <f>E24*G25</f>
        <v>2524.7199999999998</v>
      </c>
    </row>
    <row r="26" spans="1:11" x14ac:dyDescent="0.3">
      <c r="A26" s="320" t="s">
        <v>311</v>
      </c>
      <c r="B26" s="321">
        <v>1</v>
      </c>
      <c r="C26" s="322">
        <v>3584.6</v>
      </c>
      <c r="D26" s="322">
        <v>716.92</v>
      </c>
      <c r="E26" s="322">
        <f t="shared" si="4"/>
        <v>2867.68</v>
      </c>
      <c r="G26" s="328">
        <v>2.2000000000000002</v>
      </c>
      <c r="H26" s="333" t="s">
        <v>317</v>
      </c>
      <c r="I26" s="334" t="s">
        <v>315</v>
      </c>
      <c r="J26" s="335">
        <f>E25</f>
        <v>1747.52</v>
      </c>
      <c r="K26" s="335">
        <f>E25*G26</f>
        <v>3844.5440000000003</v>
      </c>
    </row>
    <row r="27" spans="1:11" x14ac:dyDescent="0.3">
      <c r="G27" s="328">
        <v>2.2000000000000002</v>
      </c>
      <c r="H27" s="326" t="s">
        <v>318</v>
      </c>
      <c r="I27" s="325" t="s">
        <v>315</v>
      </c>
      <c r="J27" s="332">
        <f>E26</f>
        <v>2867.68</v>
      </c>
      <c r="K27" s="329">
        <f>E26*G27</f>
        <v>6308.8959999999997</v>
      </c>
    </row>
    <row r="28" spans="1:11" x14ac:dyDescent="0.3">
      <c r="H28" s="336" t="s">
        <v>323</v>
      </c>
    </row>
    <row r="29" spans="1:11" ht="15" x14ac:dyDescent="0.3">
      <c r="A29" s="323"/>
    </row>
    <row r="30" spans="1:11" x14ac:dyDescent="0.3">
      <c r="A30" s="319" t="s">
        <v>282</v>
      </c>
      <c r="B30" s="319" t="s">
        <v>122</v>
      </c>
      <c r="C30" s="319" t="s">
        <v>25</v>
      </c>
      <c r="D30" s="319" t="s">
        <v>307</v>
      </c>
      <c r="E30" s="319" t="s">
        <v>308</v>
      </c>
      <c r="G30" s="383" t="s">
        <v>331</v>
      </c>
      <c r="H30" s="384"/>
      <c r="I30" s="384"/>
    </row>
    <row r="31" spans="1:11" x14ac:dyDescent="0.3">
      <c r="A31" s="320" t="s">
        <v>309</v>
      </c>
      <c r="B31" s="321">
        <v>1</v>
      </c>
      <c r="C31" s="322">
        <v>1434.5</v>
      </c>
      <c r="D31" s="322">
        <v>286.89999999999998</v>
      </c>
      <c r="E31" s="322">
        <f>C31-D31</f>
        <v>1147.5999999999999</v>
      </c>
      <c r="G31" s="327" t="s">
        <v>316</v>
      </c>
      <c r="H31" s="330" t="s">
        <v>329</v>
      </c>
      <c r="I31" s="331"/>
      <c r="J31" s="330" t="s">
        <v>322</v>
      </c>
      <c r="K31" s="330" t="s">
        <v>319</v>
      </c>
    </row>
    <row r="32" spans="1:11" x14ac:dyDescent="0.3">
      <c r="A32" s="320" t="s">
        <v>310</v>
      </c>
      <c r="B32" s="321">
        <v>1</v>
      </c>
      <c r="C32" s="322">
        <v>2184.4</v>
      </c>
      <c r="D32" s="322">
        <v>436.88</v>
      </c>
      <c r="E32" s="322">
        <f t="shared" ref="E32:E33" si="5">C32-D32</f>
        <v>1747.52</v>
      </c>
      <c r="G32" s="328">
        <v>2.2000000000000002</v>
      </c>
      <c r="H32" s="326" t="s">
        <v>314</v>
      </c>
      <c r="I32" s="325" t="s">
        <v>315</v>
      </c>
      <c r="J32" s="332">
        <f>E31</f>
        <v>1147.5999999999999</v>
      </c>
      <c r="K32" s="329">
        <f>E31*G32</f>
        <v>2524.7199999999998</v>
      </c>
    </row>
    <row r="33" spans="1:11" x14ac:dyDescent="0.3">
      <c r="A33" s="320" t="s">
        <v>311</v>
      </c>
      <c r="B33" s="321">
        <v>1</v>
      </c>
      <c r="C33" s="322">
        <v>3584.6</v>
      </c>
      <c r="D33" s="322">
        <v>716.92</v>
      </c>
      <c r="E33" s="322">
        <f t="shared" si="5"/>
        <v>2867.68</v>
      </c>
      <c r="G33" s="328">
        <v>2.2000000000000002</v>
      </c>
      <c r="H33" s="333" t="s">
        <v>317</v>
      </c>
      <c r="I33" s="334" t="s">
        <v>315</v>
      </c>
      <c r="J33" s="335">
        <f>E32</f>
        <v>1747.52</v>
      </c>
      <c r="K33" s="335">
        <f>E32*G33</f>
        <v>3844.5440000000003</v>
      </c>
    </row>
    <row r="34" spans="1:11" x14ac:dyDescent="0.3">
      <c r="G34" s="328">
        <v>2.2000000000000002</v>
      </c>
      <c r="H34" s="326" t="s">
        <v>318</v>
      </c>
      <c r="I34" s="325" t="s">
        <v>315</v>
      </c>
      <c r="J34" s="332">
        <f>E33</f>
        <v>2867.68</v>
      </c>
      <c r="K34" s="329">
        <f>E33*G34</f>
        <v>6308.8959999999997</v>
      </c>
    </row>
    <row r="35" spans="1:11" x14ac:dyDescent="0.3">
      <c r="H35" s="336" t="s">
        <v>323</v>
      </c>
    </row>
    <row r="37" spans="1:11" x14ac:dyDescent="0.3">
      <c r="A37" s="319" t="s">
        <v>282</v>
      </c>
      <c r="B37" s="319" t="s">
        <v>122</v>
      </c>
      <c r="C37" s="319" t="s">
        <v>25</v>
      </c>
      <c r="D37" s="319" t="s">
        <v>307</v>
      </c>
      <c r="E37" s="319" t="s">
        <v>308</v>
      </c>
      <c r="G37" s="383" t="s">
        <v>332</v>
      </c>
      <c r="H37" s="384"/>
      <c r="I37" s="384"/>
    </row>
    <row r="38" spans="1:11" x14ac:dyDescent="0.3">
      <c r="A38" s="320" t="s">
        <v>309</v>
      </c>
      <c r="B38" s="321">
        <v>1</v>
      </c>
      <c r="C38" s="322">
        <v>1434.5</v>
      </c>
      <c r="D38" s="322">
        <v>286.89999999999998</v>
      </c>
      <c r="E38" s="322">
        <f>C38-D38</f>
        <v>1147.5999999999999</v>
      </c>
      <c r="G38" s="327" t="s">
        <v>316</v>
      </c>
      <c r="H38" s="330" t="s">
        <v>330</v>
      </c>
      <c r="I38" s="331"/>
      <c r="J38" s="330" t="s">
        <v>322</v>
      </c>
      <c r="K38" s="330" t="s">
        <v>319</v>
      </c>
    </row>
    <row r="39" spans="1:11" x14ac:dyDescent="0.3">
      <c r="A39" s="320" t="s">
        <v>310</v>
      </c>
      <c r="B39" s="321">
        <v>1</v>
      </c>
      <c r="C39" s="322">
        <v>2184.4</v>
      </c>
      <c r="D39" s="322">
        <v>436.88</v>
      </c>
      <c r="E39" s="322">
        <f t="shared" ref="E39:E40" si="6">C39-D39</f>
        <v>1747.52</v>
      </c>
      <c r="G39" s="328">
        <v>2.2000000000000002</v>
      </c>
      <c r="H39" s="333" t="s">
        <v>314</v>
      </c>
      <c r="I39" s="334" t="s">
        <v>315</v>
      </c>
      <c r="J39" s="335">
        <f>E38</f>
        <v>1147.5999999999999</v>
      </c>
      <c r="K39" s="335">
        <f>E38*G39</f>
        <v>2524.7199999999998</v>
      </c>
    </row>
    <row r="40" spans="1:11" x14ac:dyDescent="0.3">
      <c r="A40" s="320" t="s">
        <v>311</v>
      </c>
      <c r="B40" s="321">
        <v>1</v>
      </c>
      <c r="C40" s="322">
        <v>3584.6</v>
      </c>
      <c r="D40" s="322">
        <v>716.92</v>
      </c>
      <c r="E40" s="322">
        <f t="shared" si="6"/>
        <v>2867.68</v>
      </c>
      <c r="G40" s="328">
        <v>2.2000000000000002</v>
      </c>
      <c r="H40" s="326" t="s">
        <v>317</v>
      </c>
      <c r="I40" s="325" t="s">
        <v>315</v>
      </c>
      <c r="J40" s="329">
        <f>E39</f>
        <v>1747.52</v>
      </c>
      <c r="K40" s="329">
        <f>E39*G40</f>
        <v>3844.5440000000003</v>
      </c>
    </row>
    <row r="41" spans="1:11" x14ac:dyDescent="0.3">
      <c r="G41" s="328">
        <v>2.2000000000000002</v>
      </c>
      <c r="H41" s="326" t="s">
        <v>318</v>
      </c>
      <c r="I41" s="325" t="s">
        <v>315</v>
      </c>
      <c r="J41" s="332">
        <f>E40</f>
        <v>2867.68</v>
      </c>
      <c r="K41" s="329">
        <f>E40*G41</f>
        <v>6308.8959999999997</v>
      </c>
    </row>
    <row r="42" spans="1:11" x14ac:dyDescent="0.3">
      <c r="H42" s="336" t="s">
        <v>323</v>
      </c>
    </row>
    <row r="44" spans="1:11" x14ac:dyDescent="0.3">
      <c r="A44" s="319" t="s">
        <v>282</v>
      </c>
      <c r="B44" s="319" t="s">
        <v>122</v>
      </c>
      <c r="C44" s="319" t="s">
        <v>25</v>
      </c>
      <c r="D44" s="319" t="s">
        <v>307</v>
      </c>
      <c r="E44" s="319" t="s">
        <v>308</v>
      </c>
      <c r="G44" s="383" t="s">
        <v>334</v>
      </c>
      <c r="H44" s="384"/>
      <c r="I44" s="384"/>
    </row>
    <row r="45" spans="1:11" x14ac:dyDescent="0.3">
      <c r="A45" s="320" t="s">
        <v>309</v>
      </c>
      <c r="B45" s="321">
        <v>1</v>
      </c>
      <c r="C45" s="322">
        <v>1434.5</v>
      </c>
      <c r="D45" s="322">
        <v>286.89999999999998</v>
      </c>
      <c r="E45" s="322">
        <f>C45-D45</f>
        <v>1147.5999999999999</v>
      </c>
      <c r="G45" s="327" t="s">
        <v>316</v>
      </c>
      <c r="H45" s="330" t="s">
        <v>333</v>
      </c>
      <c r="I45" s="331"/>
      <c r="J45" s="330" t="s">
        <v>322</v>
      </c>
      <c r="K45" s="330" t="s">
        <v>319</v>
      </c>
    </row>
    <row r="46" spans="1:11" x14ac:dyDescent="0.3">
      <c r="A46" s="320" t="s">
        <v>310</v>
      </c>
      <c r="B46" s="321">
        <v>1</v>
      </c>
      <c r="C46" s="322">
        <v>2184.4</v>
      </c>
      <c r="D46" s="322">
        <v>436.88</v>
      </c>
      <c r="E46" s="322">
        <f t="shared" ref="E46:E47" si="7">C46-D46</f>
        <v>1747.52</v>
      </c>
      <c r="G46" s="328">
        <v>2.2000000000000002</v>
      </c>
      <c r="H46" s="333" t="s">
        <v>314</v>
      </c>
      <c r="I46" s="334" t="s">
        <v>315</v>
      </c>
      <c r="J46" s="335">
        <f>E45</f>
        <v>1147.5999999999999</v>
      </c>
      <c r="K46" s="335">
        <f>E45*G46</f>
        <v>2524.7199999999998</v>
      </c>
    </row>
    <row r="47" spans="1:11" x14ac:dyDescent="0.3">
      <c r="A47" s="320" t="s">
        <v>311</v>
      </c>
      <c r="B47" s="321">
        <v>1</v>
      </c>
      <c r="C47" s="322">
        <v>3584.6</v>
      </c>
      <c r="D47" s="322">
        <v>716.92</v>
      </c>
      <c r="E47" s="322">
        <f t="shared" si="7"/>
        <v>2867.68</v>
      </c>
      <c r="G47" s="328">
        <v>2.2000000000000002</v>
      </c>
      <c r="H47" s="326" t="s">
        <v>317</v>
      </c>
      <c r="I47" s="325" t="s">
        <v>315</v>
      </c>
      <c r="J47" s="329">
        <f>E46</f>
        <v>1747.52</v>
      </c>
      <c r="K47" s="329">
        <f>E46*G47</f>
        <v>3844.5440000000003</v>
      </c>
    </row>
    <row r="48" spans="1:11" x14ac:dyDescent="0.3">
      <c r="G48" s="328">
        <v>2.2000000000000002</v>
      </c>
      <c r="H48" s="326" t="s">
        <v>318</v>
      </c>
      <c r="I48" s="325" t="s">
        <v>315</v>
      </c>
      <c r="J48" s="332">
        <f>E47</f>
        <v>2867.68</v>
      </c>
      <c r="K48" s="329">
        <f>E47*G48</f>
        <v>6308.8959999999997</v>
      </c>
    </row>
    <row r="49" spans="1:11" x14ac:dyDescent="0.3">
      <c r="H49" s="336" t="s">
        <v>323</v>
      </c>
    </row>
    <row r="51" spans="1:11" x14ac:dyDescent="0.3">
      <c r="A51" s="319" t="s">
        <v>282</v>
      </c>
      <c r="B51" s="319" t="s">
        <v>122</v>
      </c>
      <c r="C51" s="319" t="s">
        <v>25</v>
      </c>
      <c r="D51" s="319" t="s">
        <v>307</v>
      </c>
      <c r="E51" s="319" t="s">
        <v>308</v>
      </c>
      <c r="G51" s="383" t="s">
        <v>336</v>
      </c>
      <c r="H51" s="384"/>
      <c r="I51" s="384"/>
    </row>
    <row r="52" spans="1:11" x14ac:dyDescent="0.3">
      <c r="A52" s="320" t="s">
        <v>309</v>
      </c>
      <c r="B52" s="321">
        <v>1</v>
      </c>
      <c r="C52" s="322">
        <v>1434.5</v>
      </c>
      <c r="D52" s="322">
        <v>286.89999999999998</v>
      </c>
      <c r="E52" s="322">
        <f>C52-D52</f>
        <v>1147.5999999999999</v>
      </c>
      <c r="G52" s="327" t="s">
        <v>316</v>
      </c>
      <c r="H52" s="330" t="s">
        <v>333</v>
      </c>
      <c r="I52" s="331"/>
      <c r="J52" s="330" t="s">
        <v>322</v>
      </c>
      <c r="K52" s="330" t="s">
        <v>319</v>
      </c>
    </row>
    <row r="53" spans="1:11" x14ac:dyDescent="0.3">
      <c r="A53" s="320" t="s">
        <v>310</v>
      </c>
      <c r="B53" s="321">
        <v>1</v>
      </c>
      <c r="C53" s="322">
        <v>2184.4</v>
      </c>
      <c r="D53" s="322">
        <v>436.88</v>
      </c>
      <c r="E53" s="322">
        <f t="shared" ref="E53:E54" si="8">C53-D53</f>
        <v>1747.52</v>
      </c>
      <c r="G53" s="328">
        <v>2.2000000000000002</v>
      </c>
      <c r="H53" s="326" t="s">
        <v>314</v>
      </c>
      <c r="I53" s="325" t="s">
        <v>315</v>
      </c>
      <c r="J53" s="329">
        <f>E52</f>
        <v>1147.5999999999999</v>
      </c>
      <c r="K53" s="329">
        <f>E52*G53</f>
        <v>2524.7199999999998</v>
      </c>
    </row>
    <row r="54" spans="1:11" x14ac:dyDescent="0.3">
      <c r="A54" s="320" t="s">
        <v>311</v>
      </c>
      <c r="B54" s="321">
        <v>1</v>
      </c>
      <c r="C54" s="322">
        <v>3584.6</v>
      </c>
      <c r="D54" s="322">
        <v>716.92</v>
      </c>
      <c r="E54" s="322">
        <f t="shared" si="8"/>
        <v>2867.68</v>
      </c>
      <c r="G54" s="328">
        <v>2.2000000000000002</v>
      </c>
      <c r="H54" s="333" t="s">
        <v>317</v>
      </c>
      <c r="I54" s="334" t="s">
        <v>315</v>
      </c>
      <c r="J54" s="335">
        <f>E53</f>
        <v>1747.52</v>
      </c>
      <c r="K54" s="335">
        <f>E53*G54</f>
        <v>3844.5440000000003</v>
      </c>
    </row>
    <row r="55" spans="1:11" x14ac:dyDescent="0.3">
      <c r="G55" s="328">
        <v>2.2000000000000002</v>
      </c>
      <c r="H55" s="326" t="s">
        <v>318</v>
      </c>
      <c r="I55" s="325" t="s">
        <v>315</v>
      </c>
      <c r="J55" s="332">
        <f>E54</f>
        <v>2867.68</v>
      </c>
      <c r="K55" s="329">
        <f>E54*G55</f>
        <v>6308.8959999999997</v>
      </c>
    </row>
    <row r="56" spans="1:11" x14ac:dyDescent="0.3">
      <c r="H56" s="336" t="s">
        <v>323</v>
      </c>
    </row>
    <row r="59" spans="1:11" x14ac:dyDescent="0.3">
      <c r="A59" s="319" t="s">
        <v>282</v>
      </c>
      <c r="B59" s="319" t="s">
        <v>122</v>
      </c>
      <c r="C59" s="319" t="s">
        <v>25</v>
      </c>
      <c r="D59" s="319" t="s">
        <v>307</v>
      </c>
      <c r="E59" s="319" t="s">
        <v>308</v>
      </c>
      <c r="G59" s="383" t="s">
        <v>337</v>
      </c>
      <c r="H59" s="384"/>
      <c r="I59" s="384"/>
    </row>
    <row r="60" spans="1:11" x14ac:dyDescent="0.3">
      <c r="A60" s="320" t="s">
        <v>309</v>
      </c>
      <c r="B60" s="321">
        <v>1</v>
      </c>
      <c r="C60" s="322">
        <v>1434.5</v>
      </c>
      <c r="D60" s="322">
        <v>286.89999999999998</v>
      </c>
      <c r="E60" s="322">
        <f>C60-D60</f>
        <v>1147.5999999999999</v>
      </c>
      <c r="G60" s="327" t="s">
        <v>316</v>
      </c>
      <c r="H60" s="330" t="s">
        <v>338</v>
      </c>
      <c r="I60" s="331"/>
      <c r="J60" s="330" t="s">
        <v>322</v>
      </c>
      <c r="K60" s="330" t="s">
        <v>319</v>
      </c>
    </row>
    <row r="61" spans="1:11" x14ac:dyDescent="0.3">
      <c r="A61" s="320" t="s">
        <v>310</v>
      </c>
      <c r="B61" s="321">
        <v>1</v>
      </c>
      <c r="C61" s="322">
        <v>2184.4</v>
      </c>
      <c r="D61" s="322">
        <v>436.88</v>
      </c>
      <c r="E61" s="322">
        <f t="shared" ref="E61:E62" si="9">C61-D61</f>
        <v>1747.52</v>
      </c>
      <c r="G61" s="328">
        <v>2</v>
      </c>
      <c r="H61" s="326" t="s">
        <v>314</v>
      </c>
      <c r="I61" s="325" t="s">
        <v>315</v>
      </c>
      <c r="J61" s="329">
        <f>E60</f>
        <v>1147.5999999999999</v>
      </c>
      <c r="K61" s="329">
        <f>E60*G61</f>
        <v>2295.1999999999998</v>
      </c>
    </row>
    <row r="62" spans="1:11" x14ac:dyDescent="0.3">
      <c r="A62" s="320" t="s">
        <v>311</v>
      </c>
      <c r="B62" s="321">
        <v>1</v>
      </c>
      <c r="C62" s="322">
        <v>3584.6</v>
      </c>
      <c r="D62" s="322">
        <v>716.92</v>
      </c>
      <c r="E62" s="322">
        <f t="shared" si="9"/>
        <v>2867.68</v>
      </c>
      <c r="G62" s="328">
        <v>2.2000000000000002</v>
      </c>
      <c r="H62" s="326" t="s">
        <v>317</v>
      </c>
      <c r="I62" s="325" t="s">
        <v>315</v>
      </c>
      <c r="J62" s="329">
        <f>E61</f>
        <v>1747.52</v>
      </c>
      <c r="K62" s="329">
        <f>E61*G62</f>
        <v>3844.5440000000003</v>
      </c>
    </row>
    <row r="63" spans="1:11" x14ac:dyDescent="0.3">
      <c r="G63" s="328">
        <v>2.2000000000000002</v>
      </c>
      <c r="H63" s="326" t="s">
        <v>318</v>
      </c>
      <c r="I63" s="325" t="s">
        <v>315</v>
      </c>
      <c r="J63" s="332">
        <f>E62</f>
        <v>2867.68</v>
      </c>
      <c r="K63" s="329">
        <f>E62*G63</f>
        <v>6308.8959999999997</v>
      </c>
    </row>
    <row r="64" spans="1:11" x14ac:dyDescent="0.3">
      <c r="H64" s="336" t="s">
        <v>323</v>
      </c>
    </row>
    <row r="66" spans="1:11" x14ac:dyDescent="0.3">
      <c r="A66" s="319" t="s">
        <v>282</v>
      </c>
      <c r="B66" s="319" t="s">
        <v>122</v>
      </c>
      <c r="C66" s="319" t="s">
        <v>25</v>
      </c>
      <c r="D66" s="319" t="s">
        <v>307</v>
      </c>
      <c r="E66" s="319" t="s">
        <v>308</v>
      </c>
      <c r="G66" s="383" t="s">
        <v>347</v>
      </c>
      <c r="H66" s="384"/>
      <c r="I66" s="384"/>
    </row>
    <row r="67" spans="1:11" x14ac:dyDescent="0.3">
      <c r="A67" s="320" t="s">
        <v>309</v>
      </c>
      <c r="B67" s="321">
        <v>1</v>
      </c>
      <c r="C67" s="322">
        <v>1434.5</v>
      </c>
      <c r="D67" s="322">
        <v>286.89999999999998</v>
      </c>
      <c r="E67" s="322">
        <f>C67-D67</f>
        <v>1147.5999999999999</v>
      </c>
      <c r="G67" s="327" t="s">
        <v>316</v>
      </c>
      <c r="H67" s="330" t="s">
        <v>348</v>
      </c>
      <c r="I67" s="331"/>
      <c r="J67" s="330" t="s">
        <v>322</v>
      </c>
      <c r="K67" s="330" t="s">
        <v>319</v>
      </c>
    </row>
    <row r="68" spans="1:11" x14ac:dyDescent="0.3">
      <c r="A68" s="320" t="s">
        <v>310</v>
      </c>
      <c r="B68" s="321">
        <v>1</v>
      </c>
      <c r="C68" s="322">
        <v>2184.4</v>
      </c>
      <c r="D68" s="322">
        <v>436.88</v>
      </c>
      <c r="E68" s="322">
        <f t="shared" ref="E68:E69" si="10">C68-D68</f>
        <v>1747.52</v>
      </c>
      <c r="G68" s="328">
        <v>1.8</v>
      </c>
      <c r="H68" s="326" t="s">
        <v>314</v>
      </c>
      <c r="I68" s="325" t="s">
        <v>315</v>
      </c>
      <c r="J68" s="329">
        <f>E67</f>
        <v>1147.5999999999999</v>
      </c>
      <c r="K68" s="329">
        <f>E67*G68</f>
        <v>2065.6799999999998</v>
      </c>
    </row>
    <row r="69" spans="1:11" x14ac:dyDescent="0.3">
      <c r="A69" s="320" t="s">
        <v>311</v>
      </c>
      <c r="B69" s="321">
        <v>1</v>
      </c>
      <c r="C69" s="322">
        <v>3584.6</v>
      </c>
      <c r="D69" s="322">
        <v>716.92</v>
      </c>
      <c r="E69" s="322">
        <f t="shared" si="10"/>
        <v>2867.68</v>
      </c>
      <c r="G69" s="328">
        <v>2</v>
      </c>
      <c r="H69" s="326" t="s">
        <v>317</v>
      </c>
      <c r="I69" s="325" t="s">
        <v>315</v>
      </c>
      <c r="J69" s="329">
        <f>E68</f>
        <v>1747.52</v>
      </c>
      <c r="K69" s="329">
        <f>E68*G69</f>
        <v>3495.04</v>
      </c>
    </row>
    <row r="70" spans="1:11" x14ac:dyDescent="0.3">
      <c r="G70" s="328">
        <v>2</v>
      </c>
      <c r="H70" s="326" t="s">
        <v>318</v>
      </c>
      <c r="I70" s="325" t="s">
        <v>315</v>
      </c>
      <c r="J70" s="332">
        <f>E69</f>
        <v>2867.68</v>
      </c>
      <c r="K70" s="329">
        <f>E69*G70</f>
        <v>5735.36</v>
      </c>
    </row>
    <row r="71" spans="1:11" x14ac:dyDescent="0.3">
      <c r="H71" s="336" t="s">
        <v>323</v>
      </c>
    </row>
  </sheetData>
  <mergeCells count="10">
    <mergeCell ref="G66:I66"/>
    <mergeCell ref="G59:I59"/>
    <mergeCell ref="G51:I51"/>
    <mergeCell ref="G44:I44"/>
    <mergeCell ref="G37:I37"/>
    <mergeCell ref="A1:E1"/>
    <mergeCell ref="G9:I9"/>
    <mergeCell ref="G16:I16"/>
    <mergeCell ref="G23:I23"/>
    <mergeCell ref="G30:I30"/>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EB1-F4A0-4662-A59F-789C383AD389}">
  <sheetPr>
    <pageSetUpPr fitToPage="1"/>
  </sheetPr>
  <dimension ref="A1:BE32"/>
  <sheetViews>
    <sheetView showGridLines="0" topLeftCell="A2" zoomScale="85" zoomScaleNormal="85" workbookViewId="0">
      <selection activeCell="G4" sqref="G4"/>
    </sheetView>
  </sheetViews>
  <sheetFormatPr defaultColWidth="9.109375" defaultRowHeight="14.4" x14ac:dyDescent="0.3"/>
  <cols>
    <col min="1" max="1" width="36.33203125" style="115" bestFit="1" customWidth="1"/>
    <col min="2" max="2" width="12.109375" style="115" customWidth="1"/>
    <col min="3" max="3" width="8.88671875" style="115" customWidth="1"/>
    <col min="4" max="4" width="13.88671875" style="115" customWidth="1"/>
    <col min="5" max="5" width="9.109375" style="115" customWidth="1"/>
    <col min="6" max="6" width="14.6640625" style="115" bestFit="1" customWidth="1"/>
    <col min="7" max="7" width="26.33203125" style="115" bestFit="1" customWidth="1"/>
    <col min="8" max="8" width="9.109375" style="115"/>
    <col min="9" max="9" width="10.5546875" style="115" bestFit="1" customWidth="1"/>
    <col min="10" max="10" width="11.33203125" style="115" bestFit="1" customWidth="1"/>
    <col min="11" max="11" width="9.5546875" style="115" customWidth="1"/>
    <col min="12" max="27" width="10" style="115" customWidth="1"/>
    <col min="28" max="31" width="9.109375" style="115"/>
    <col min="32" max="33" width="14.44140625" style="115" customWidth="1"/>
    <col min="34" max="34" width="17.6640625" style="115" customWidth="1"/>
    <col min="35" max="35" width="10.44140625" style="115" customWidth="1"/>
    <col min="36" max="36" width="12" style="115" customWidth="1"/>
    <col min="37" max="37" width="9.109375" style="115"/>
    <col min="38" max="38" width="9" style="115" customWidth="1"/>
    <col min="39" max="49" width="9.109375" style="115"/>
    <col min="50" max="50" width="12.33203125" style="115" bestFit="1" customWidth="1"/>
    <col min="51" max="16384" width="9.109375" style="115"/>
  </cols>
  <sheetData>
    <row r="1" spans="1:57" ht="16.2" thickBot="1" x14ac:dyDescent="0.35">
      <c r="A1" s="382" t="s">
        <v>250</v>
      </c>
      <c r="B1" s="382"/>
      <c r="C1" s="382"/>
      <c r="D1" s="382"/>
      <c r="E1" s="382"/>
      <c r="F1" s="382"/>
      <c r="G1" s="382"/>
      <c r="H1" s="382"/>
      <c r="I1" s="382"/>
      <c r="J1" s="382"/>
      <c r="AR1" s="249" t="s">
        <v>296</v>
      </c>
    </row>
    <row r="2" spans="1:57" ht="57.6" x14ac:dyDescent="0.3">
      <c r="A2" s="67"/>
      <c r="B2" s="68" t="s">
        <v>90</v>
      </c>
      <c r="C2" s="69" t="s">
        <v>91</v>
      </c>
      <c r="D2" s="69" t="s">
        <v>116</v>
      </c>
      <c r="E2" s="63" t="s">
        <v>118</v>
      </c>
      <c r="F2" s="63" t="s">
        <v>117</v>
      </c>
      <c r="G2"/>
      <c r="H2"/>
      <c r="I2"/>
      <c r="J2"/>
      <c r="AR2" s="89" t="s">
        <v>93</v>
      </c>
      <c r="AS2" s="90" t="s">
        <v>94</v>
      </c>
      <c r="AT2" s="90"/>
      <c r="AU2" s="90" t="s">
        <v>44</v>
      </c>
      <c r="AV2" s="90" t="s">
        <v>95</v>
      </c>
      <c r="AW2" s="90" t="s">
        <v>96</v>
      </c>
      <c r="AX2" s="90" t="s">
        <v>97</v>
      </c>
      <c r="AY2" s="90" t="s">
        <v>98</v>
      </c>
      <c r="AZ2" s="90" t="s">
        <v>99</v>
      </c>
      <c r="BA2" s="90" t="s">
        <v>100</v>
      </c>
      <c r="BB2" s="90" t="s">
        <v>101</v>
      </c>
      <c r="BC2" s="90" t="s">
        <v>102</v>
      </c>
      <c r="BD2" s="90" t="s">
        <v>53</v>
      </c>
      <c r="BE2" s="91" t="s">
        <v>103</v>
      </c>
    </row>
    <row r="3" spans="1:57" x14ac:dyDescent="0.3">
      <c r="A3" s="108" t="s">
        <v>104</v>
      </c>
      <c r="B3" s="113">
        <v>6</v>
      </c>
      <c r="C3" s="108"/>
      <c r="D3" s="108"/>
      <c r="E3" s="109"/>
      <c r="F3" s="109"/>
      <c r="G3"/>
      <c r="H3"/>
      <c r="I3"/>
      <c r="J3"/>
      <c r="AR3" s="84">
        <v>1</v>
      </c>
      <c r="AS3" s="82">
        <v>0.25600000000000001</v>
      </c>
      <c r="AT3" s="82" t="s">
        <v>71</v>
      </c>
      <c r="AU3" s="82">
        <v>128</v>
      </c>
      <c r="AV3" s="82">
        <f>AU3/1024</f>
        <v>0.125</v>
      </c>
      <c r="AW3" s="83"/>
      <c r="AX3" s="82">
        <v>1</v>
      </c>
      <c r="AY3" s="82">
        <v>4</v>
      </c>
      <c r="AZ3" s="82">
        <f>B3*AS3</f>
        <v>1.536</v>
      </c>
      <c r="BA3" s="82">
        <f>AY3+AZ3</f>
        <v>5.5359999999999996</v>
      </c>
      <c r="BB3" s="82">
        <v>30</v>
      </c>
      <c r="BC3" s="82">
        <f>B4</f>
        <v>60</v>
      </c>
      <c r="BD3" s="78"/>
      <c r="BE3" s="85">
        <v>32</v>
      </c>
    </row>
    <row r="4" spans="1:57" x14ac:dyDescent="0.3">
      <c r="A4" s="108" t="s">
        <v>105</v>
      </c>
      <c r="B4" s="113">
        <v>60</v>
      </c>
      <c r="C4" s="110" t="s">
        <v>128</v>
      </c>
      <c r="D4" s="108"/>
      <c r="E4" s="109"/>
      <c r="F4" s="109"/>
      <c r="G4"/>
      <c r="H4"/>
      <c r="I4"/>
      <c r="J4"/>
      <c r="AR4" s="77"/>
      <c r="AS4"/>
      <c r="AT4"/>
      <c r="AU4"/>
      <c r="AV4"/>
      <c r="AW4"/>
      <c r="AX4" s="82">
        <f>AX3/AV3</f>
        <v>8</v>
      </c>
      <c r="AY4"/>
      <c r="AZ4"/>
      <c r="BA4" s="82">
        <f>BA3/AV3</f>
        <v>44.287999999999997</v>
      </c>
      <c r="BB4"/>
      <c r="BC4"/>
      <c r="BD4"/>
      <c r="BE4" s="79"/>
    </row>
    <row r="5" spans="1:57" x14ac:dyDescent="0.3">
      <c r="A5" s="107"/>
      <c r="B5" s="107"/>
      <c r="C5" s="107"/>
      <c r="D5" s="107"/>
      <c r="E5" s="70"/>
      <c r="F5" s="70"/>
      <c r="G5"/>
      <c r="H5"/>
      <c r="I5"/>
      <c r="J5"/>
      <c r="AR5" s="77"/>
      <c r="AS5"/>
      <c r="AT5"/>
      <c r="AU5"/>
      <c r="AV5"/>
      <c r="AW5"/>
      <c r="AX5" s="82">
        <f>AX4*0.013</f>
        <v>0.104</v>
      </c>
      <c r="AY5"/>
      <c r="AZ5"/>
      <c r="BA5" s="82">
        <f>BA4*0.012</f>
        <v>0.53145599999999993</v>
      </c>
      <c r="BB5"/>
      <c r="BC5"/>
      <c r="BD5"/>
      <c r="BE5" s="79"/>
    </row>
    <row r="6" spans="1:57" x14ac:dyDescent="0.3">
      <c r="A6" s="71"/>
      <c r="B6" s="71"/>
      <c r="C6" s="71"/>
      <c r="D6" s="71"/>
      <c r="E6" s="111"/>
      <c r="F6" s="111"/>
      <c r="G6"/>
      <c r="H6"/>
      <c r="I6"/>
      <c r="J6"/>
      <c r="AR6" s="77"/>
      <c r="AS6"/>
      <c r="AT6"/>
      <c r="AU6"/>
      <c r="AV6"/>
      <c r="AW6"/>
      <c r="AX6" s="82">
        <f>AX5*24</f>
        <v>2.496</v>
      </c>
      <c r="AY6"/>
      <c r="AZ6"/>
      <c r="BA6" s="82">
        <f>BA5*24</f>
        <v>12.754943999999998</v>
      </c>
      <c r="BB6"/>
      <c r="BC6"/>
      <c r="BD6"/>
      <c r="BE6" s="79"/>
    </row>
    <row r="7" spans="1:57" ht="15" thickBot="1" x14ac:dyDescent="0.35">
      <c r="A7" s="71" t="s">
        <v>106</v>
      </c>
      <c r="B7" s="71"/>
      <c r="C7" s="71" t="s">
        <v>107</v>
      </c>
      <c r="D7" s="72">
        <f>AX7+BA7+BB7+BC7+BD7</f>
        <v>543.66831999999999</v>
      </c>
      <c r="E7" s="74">
        <v>2</v>
      </c>
      <c r="F7" s="73">
        <f>D7*E7</f>
        <v>1087.33664</v>
      </c>
      <c r="G7"/>
      <c r="H7"/>
      <c r="I7"/>
      <c r="J7"/>
      <c r="AR7" s="80"/>
      <c r="AS7" s="81"/>
      <c r="AT7" s="81"/>
      <c r="AU7" s="81"/>
      <c r="AV7" s="81"/>
      <c r="AW7" s="81"/>
      <c r="AX7" s="86">
        <f>AX6*30</f>
        <v>74.88</v>
      </c>
      <c r="AY7" s="81"/>
      <c r="AZ7" s="81"/>
      <c r="BA7" s="86">
        <f>BA6*30</f>
        <v>382.64831999999996</v>
      </c>
      <c r="BB7" s="87">
        <f>BB3*Apoio!N2</f>
        <v>21.9</v>
      </c>
      <c r="BC7" s="87">
        <f>BC3*Apoio!N2</f>
        <v>43.8</v>
      </c>
      <c r="BD7" s="87">
        <f>Apoio!T2</f>
        <v>20.440000000000001</v>
      </c>
      <c r="BE7" s="88">
        <f>B3*BE3</f>
        <v>192</v>
      </c>
    </row>
    <row r="8" spans="1:57" x14ac:dyDescent="0.3">
      <c r="A8" s="71" t="s">
        <v>108</v>
      </c>
      <c r="B8" s="71"/>
      <c r="C8" s="71" t="s">
        <v>107</v>
      </c>
      <c r="D8" s="72">
        <f>BE7</f>
        <v>192</v>
      </c>
      <c r="E8" s="74">
        <v>2</v>
      </c>
      <c r="F8" s="73">
        <f>D8*E8</f>
        <v>384</v>
      </c>
      <c r="G8"/>
      <c r="H8"/>
      <c r="I8"/>
      <c r="J8"/>
      <c r="AR8" s="17" t="s">
        <v>279</v>
      </c>
      <c r="AS8" s="13"/>
      <c r="AT8" s="13"/>
      <c r="AU8" s="13"/>
      <c r="AV8" s="13"/>
      <c r="AW8" s="13" t="s">
        <v>278</v>
      </c>
      <c r="AX8" s="289">
        <f>AX7+BA7+BB7+BC7+BD7</f>
        <v>543.66831999999999</v>
      </c>
      <c r="AY8" s="13"/>
      <c r="AZ8" s="13"/>
      <c r="BA8" s="13"/>
      <c r="BB8" s="13"/>
      <c r="BC8" s="13"/>
      <c r="BD8" s="13"/>
      <c r="BE8" s="14"/>
    </row>
    <row r="9" spans="1:57" x14ac:dyDescent="0.3">
      <c r="A9" s="71" t="s">
        <v>109</v>
      </c>
      <c r="B9" s="71"/>
      <c r="C9" s="71" t="s">
        <v>107</v>
      </c>
      <c r="D9" s="72">
        <f>Apoio!F27</f>
        <v>35.799999999999997</v>
      </c>
      <c r="E9" s="74">
        <v>2</v>
      </c>
      <c r="F9" s="73">
        <f>D9*E9</f>
        <v>71.599999999999994</v>
      </c>
      <c r="G9"/>
      <c r="H9"/>
      <c r="I9"/>
      <c r="J9"/>
      <c r="AR9" s="22"/>
      <c r="AS9" s="9"/>
      <c r="AT9" s="9"/>
      <c r="AU9" s="9"/>
      <c r="AV9" s="9"/>
      <c r="AW9" s="9" t="s">
        <v>103</v>
      </c>
      <c r="AX9" s="290">
        <f>BE7</f>
        <v>192</v>
      </c>
      <c r="AY9" s="9"/>
      <c r="AZ9" s="9"/>
      <c r="BA9" s="9"/>
      <c r="BB9" s="9"/>
      <c r="BC9" s="9"/>
      <c r="BD9" s="9"/>
      <c r="BE9" s="21"/>
    </row>
    <row r="10" spans="1:57" ht="15" thickBot="1" x14ac:dyDescent="0.35">
      <c r="A10" s="64" t="s">
        <v>110</v>
      </c>
      <c r="B10" s="64"/>
      <c r="C10" s="64" t="s">
        <v>107</v>
      </c>
      <c r="D10" s="65">
        <f>D8+D7+D9</f>
        <v>771.46831999999995</v>
      </c>
      <c r="E10" s="65"/>
      <c r="F10" s="66">
        <f>SUM(F7:F9)</f>
        <v>1542.9366399999999</v>
      </c>
      <c r="G10" s="75"/>
      <c r="H10"/>
      <c r="I10"/>
      <c r="J10" t="s">
        <v>335</v>
      </c>
      <c r="AR10" s="40"/>
      <c r="AS10" s="38"/>
      <c r="AT10" s="38"/>
      <c r="AU10" s="38"/>
      <c r="AV10" s="38"/>
      <c r="AW10" s="38" t="s">
        <v>280</v>
      </c>
      <c r="AX10" s="291">
        <f>Apoio!F27</f>
        <v>35.799999999999997</v>
      </c>
      <c r="AY10" s="38"/>
      <c r="AZ10" s="38"/>
      <c r="BA10" s="38"/>
      <c r="BB10" s="38"/>
      <c r="BC10" s="38"/>
      <c r="BD10" s="38"/>
      <c r="BE10" s="39"/>
    </row>
    <row r="11" spans="1:57" x14ac:dyDescent="0.3">
      <c r="A11" s="70"/>
      <c r="B11" s="70"/>
      <c r="C11" s="70"/>
      <c r="D11" s="70"/>
      <c r="E11" s="70" t="s">
        <v>299</v>
      </c>
      <c r="F11" s="70"/>
      <c r="G11" s="70"/>
      <c r="H11" s="286"/>
      <c r="I11">
        <v>1</v>
      </c>
      <c r="J11">
        <v>1371</v>
      </c>
      <c r="AW11" s="299" t="s">
        <v>297</v>
      </c>
      <c r="AX11" s="292">
        <f>SUM(AX8:AX10)</f>
        <v>771.46831999999995</v>
      </c>
    </row>
    <row r="12" spans="1:57" x14ac:dyDescent="0.3">
      <c r="A12" s="70"/>
      <c r="B12" s="70"/>
      <c r="C12" s="70"/>
      <c r="D12" s="70"/>
      <c r="E12" s="70"/>
      <c r="F12" s="70"/>
      <c r="G12" s="70"/>
      <c r="H12">
        <v>12</v>
      </c>
      <c r="I12" s="115">
        <v>52</v>
      </c>
      <c r="J12">
        <f>H12*I12</f>
        <v>624</v>
      </c>
    </row>
    <row r="13" spans="1:57" x14ac:dyDescent="0.3">
      <c r="A13" s="76" t="s">
        <v>111</v>
      </c>
      <c r="B13" s="70"/>
      <c r="C13" s="70"/>
      <c r="D13" s="94">
        <f>D7+D9</f>
        <v>579.46831999999995</v>
      </c>
      <c r="E13" s="75"/>
      <c r="F13" s="317">
        <v>1747.52</v>
      </c>
      <c r="G13" s="310" t="s">
        <v>304</v>
      </c>
      <c r="H13"/>
      <c r="I13"/>
      <c r="J13">
        <f>J11+J12</f>
        <v>1995</v>
      </c>
    </row>
    <row r="14" spans="1:57" x14ac:dyDescent="0.3">
      <c r="A14" s="76"/>
      <c r="B14" s="70"/>
      <c r="C14" s="70"/>
      <c r="D14" s="94"/>
      <c r="E14" s="70"/>
      <c r="F14" s="311">
        <v>2.7</v>
      </c>
      <c r="G14" s="312" t="s">
        <v>305</v>
      </c>
      <c r="H14"/>
      <c r="I14"/>
      <c r="J14"/>
    </row>
    <row r="15" spans="1:57" x14ac:dyDescent="0.3">
      <c r="A15" s="76" t="s">
        <v>112</v>
      </c>
      <c r="B15" s="70"/>
      <c r="C15" s="70"/>
      <c r="D15" s="94"/>
      <c r="E15" s="70"/>
      <c r="F15" s="316">
        <f>F13*F14</f>
        <v>4718.3040000000001</v>
      </c>
      <c r="G15" s="313" t="s">
        <v>302</v>
      </c>
      <c r="H15"/>
      <c r="I15"/>
      <c r="J15"/>
    </row>
    <row r="16" spans="1:57" x14ac:dyDescent="0.3">
      <c r="A16" s="76" t="s">
        <v>113</v>
      </c>
      <c r="B16" s="70"/>
      <c r="C16" s="70"/>
      <c r="D16" s="70"/>
      <c r="E16" s="70"/>
      <c r="F16" s="314"/>
      <c r="G16" s="315" t="s">
        <v>303</v>
      </c>
      <c r="H16"/>
      <c r="I16"/>
      <c r="J16"/>
    </row>
    <row r="17" spans="1:10" ht="15" thickBot="1" x14ac:dyDescent="0.35">
      <c r="A17" s="70"/>
      <c r="B17" s="70"/>
      <c r="C17" s="70"/>
      <c r="D17" s="70"/>
      <c r="E17" s="70"/>
      <c r="F17" s="70"/>
      <c r="G17" s="70"/>
      <c r="H17"/>
      <c r="I17"/>
      <c r="J17"/>
    </row>
    <row r="18" spans="1:10" x14ac:dyDescent="0.3">
      <c r="A18" s="385" t="s">
        <v>119</v>
      </c>
      <c r="B18" s="386"/>
      <c r="C18" s="386"/>
      <c r="D18" s="386"/>
      <c r="E18" s="386"/>
      <c r="F18" s="386"/>
      <c r="G18" s="386"/>
      <c r="H18" s="387"/>
      <c r="I18"/>
      <c r="J18"/>
    </row>
    <row r="19" spans="1:10" x14ac:dyDescent="0.3">
      <c r="A19" s="193"/>
      <c r="B19" s="70"/>
      <c r="C19" s="70"/>
      <c r="D19" s="70"/>
      <c r="E19" s="70"/>
      <c r="F19" s="70"/>
      <c r="G19" s="70"/>
      <c r="H19" s="156"/>
      <c r="I19"/>
      <c r="J19"/>
    </row>
    <row r="20" spans="1:10" ht="15" thickBot="1" x14ac:dyDescent="0.35">
      <c r="A20" s="218"/>
      <c r="B20" s="70"/>
      <c r="C20" s="70"/>
      <c r="D20" s="70"/>
      <c r="E20" s="70"/>
      <c r="F20" s="70"/>
      <c r="G20" s="104" t="s">
        <v>125</v>
      </c>
      <c r="H20" s="156"/>
      <c r="I20"/>
      <c r="J20"/>
    </row>
    <row r="21" spans="1:10" ht="15" thickBot="1" x14ac:dyDescent="0.35">
      <c r="A21" s="219" t="s">
        <v>120</v>
      </c>
      <c r="B21" s="70"/>
      <c r="C21" s="70"/>
      <c r="D21" s="70"/>
      <c r="E21" s="70"/>
      <c r="F21" s="70"/>
      <c r="G21" s="114">
        <v>0</v>
      </c>
      <c r="H21" s="156"/>
      <c r="I21"/>
      <c r="J21"/>
    </row>
    <row r="22" spans="1:10" x14ac:dyDescent="0.3">
      <c r="A22" s="220"/>
      <c r="B22" s="70"/>
      <c r="C22" s="70"/>
      <c r="D22" s="70"/>
      <c r="E22" s="70"/>
      <c r="F22" s="70"/>
      <c r="G22" s="70"/>
      <c r="H22" s="156"/>
      <c r="I22"/>
      <c r="J22">
        <v>1714.09</v>
      </c>
    </row>
    <row r="23" spans="1:10" x14ac:dyDescent="0.3">
      <c r="A23" s="221" t="s">
        <v>114</v>
      </c>
      <c r="B23" s="96"/>
      <c r="C23" s="96"/>
      <c r="D23" s="96"/>
      <c r="E23" s="96"/>
      <c r="F23" s="97"/>
      <c r="G23" s="112">
        <v>1600</v>
      </c>
      <c r="H23" s="156"/>
      <c r="I23"/>
      <c r="J23">
        <v>624</v>
      </c>
    </row>
    <row r="24" spans="1:10" x14ac:dyDescent="0.3">
      <c r="A24" s="218"/>
      <c r="B24" s="70"/>
      <c r="C24" s="70"/>
      <c r="D24" s="70"/>
      <c r="E24" s="70"/>
      <c r="F24" s="94"/>
      <c r="G24" s="70"/>
      <c r="H24" s="156"/>
      <c r="I24"/>
      <c r="J24">
        <f>J22+J23</f>
        <v>2338.09</v>
      </c>
    </row>
    <row r="25" spans="1:10" x14ac:dyDescent="0.3">
      <c r="A25" s="222" t="s">
        <v>26</v>
      </c>
      <c r="B25" s="98"/>
      <c r="C25" s="98" t="s">
        <v>122</v>
      </c>
      <c r="D25" s="98"/>
      <c r="E25" s="98"/>
      <c r="F25" s="99" t="s">
        <v>123</v>
      </c>
      <c r="G25" s="98" t="s">
        <v>124</v>
      </c>
      <c r="H25" s="156"/>
      <c r="I25"/>
      <c r="J25" s="2">
        <f>J24-G29</f>
        <v>795.15336000000025</v>
      </c>
    </row>
    <row r="26" spans="1:10" ht="15.6" x14ac:dyDescent="0.3">
      <c r="A26" s="223" t="s">
        <v>115</v>
      </c>
      <c r="B26" s="100"/>
      <c r="C26" s="101">
        <v>1</v>
      </c>
      <c r="D26" s="101"/>
      <c r="E26" s="101">
        <v>1</v>
      </c>
      <c r="F26" s="102">
        <f>G26/C26</f>
        <v>1158.9366399999999</v>
      </c>
      <c r="G26" s="103">
        <f>F7+F9</f>
        <v>1158.9366399999999</v>
      </c>
      <c r="H26" s="156"/>
      <c r="I26" s="2"/>
      <c r="J26" s="2">
        <f>J24-J25</f>
        <v>1542.9366399999999</v>
      </c>
    </row>
    <row r="27" spans="1:10" ht="15.6" x14ac:dyDescent="0.3">
      <c r="A27" s="223" t="s">
        <v>121</v>
      </c>
      <c r="B27" s="100"/>
      <c r="C27" s="101">
        <f>B3</f>
        <v>6</v>
      </c>
      <c r="D27" s="101"/>
      <c r="E27" s="101">
        <f>B3</f>
        <v>6</v>
      </c>
      <c r="F27" s="102">
        <f>G27/C27</f>
        <v>64</v>
      </c>
      <c r="G27" s="103">
        <f>F8</f>
        <v>384</v>
      </c>
      <c r="H27" s="156"/>
      <c r="I27"/>
      <c r="J27"/>
    </row>
    <row r="28" spans="1:10" x14ac:dyDescent="0.3">
      <c r="A28" s="224"/>
      <c r="B28" s="70"/>
      <c r="C28" s="70"/>
      <c r="D28" s="70"/>
      <c r="E28" s="70"/>
      <c r="F28" s="106" t="s">
        <v>126</v>
      </c>
      <c r="G28" s="95">
        <f>G26+G27</f>
        <v>1542.9366399999999</v>
      </c>
      <c r="H28" s="156"/>
      <c r="I28" s="2"/>
      <c r="J28" s="2"/>
    </row>
    <row r="29" spans="1:10" x14ac:dyDescent="0.3">
      <c r="A29" s="193"/>
      <c r="B29"/>
      <c r="C29"/>
      <c r="D29"/>
      <c r="E29"/>
      <c r="F29" s="106" t="s">
        <v>127</v>
      </c>
      <c r="G29" s="105">
        <f>IF(G21&gt;15%,"DESCONTO NÃO PERMITIDO",(IF($G$21&lt;&gt;"",($G$26+$G$27)-(($G$26+$G$27)*$G$21))))</f>
        <v>1542.9366399999999</v>
      </c>
      <c r="H29" s="156"/>
      <c r="I29"/>
      <c r="J29" s="2"/>
    </row>
    <row r="30" spans="1:10" ht="15" thickBot="1" x14ac:dyDescent="0.35">
      <c r="A30" s="195"/>
      <c r="B30" s="158"/>
      <c r="C30" s="158"/>
      <c r="D30" s="158"/>
      <c r="E30" s="158"/>
      <c r="F30" s="225" t="s">
        <v>129</v>
      </c>
      <c r="G30" s="226">
        <f>G28-G29</f>
        <v>0</v>
      </c>
      <c r="H30" s="159"/>
      <c r="I30"/>
      <c r="J30" s="2"/>
    </row>
    <row r="31" spans="1:10" x14ac:dyDescent="0.3">
      <c r="A31"/>
      <c r="B31"/>
      <c r="C31"/>
      <c r="D31"/>
      <c r="E31"/>
      <c r="F31"/>
      <c r="G31"/>
      <c r="H31"/>
      <c r="I31"/>
      <c r="J31"/>
    </row>
    <row r="32" spans="1:10" x14ac:dyDescent="0.3">
      <c r="A32"/>
      <c r="B32"/>
      <c r="C32"/>
      <c r="D32"/>
      <c r="E32"/>
      <c r="F32"/>
      <c r="G32"/>
      <c r="H32"/>
      <c r="I32"/>
      <c r="J32"/>
    </row>
  </sheetData>
  <mergeCells count="2">
    <mergeCell ref="A18:H18"/>
    <mergeCell ref="A1:J1"/>
  </mergeCells>
  <pageMargins left="0.511811024" right="0.511811024" top="0.78740157499999996" bottom="0.78740157499999996" header="0.31496062000000002" footer="0.31496062000000002"/>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BF39-93CD-4D00-B40B-506B7BB6CA0B}">
  <dimension ref="A1:P27"/>
  <sheetViews>
    <sheetView showGridLines="0" workbookViewId="0">
      <selection activeCell="G10" sqref="G10"/>
    </sheetView>
  </sheetViews>
  <sheetFormatPr defaultColWidth="9.109375" defaultRowHeight="14.4" x14ac:dyDescent="0.3"/>
  <cols>
    <col min="1" max="3" width="9.109375" style="115"/>
    <col min="4" max="4" width="15" style="115" bestFit="1" customWidth="1"/>
    <col min="5" max="5" width="4" style="115" bestFit="1" customWidth="1"/>
    <col min="6" max="6" width="9.33203125" style="115" bestFit="1" customWidth="1"/>
    <col min="7" max="7" width="11.5546875" style="115" bestFit="1" customWidth="1"/>
    <col min="8" max="9" width="9.109375" style="115"/>
    <col min="10" max="10" width="9.33203125" style="115" bestFit="1" customWidth="1"/>
    <col min="11" max="16384" width="9.109375" style="115"/>
  </cols>
  <sheetData>
    <row r="1" spans="1:16" ht="15.6" x14ac:dyDescent="0.3">
      <c r="A1" s="382" t="s">
        <v>251</v>
      </c>
      <c r="B1" s="382"/>
      <c r="C1" s="382"/>
      <c r="D1" s="382"/>
      <c r="E1" s="382"/>
      <c r="F1" s="382"/>
      <c r="G1" s="382"/>
      <c r="H1" s="382"/>
      <c r="I1" s="382"/>
      <c r="J1" s="382"/>
      <c r="K1" s="382"/>
      <c r="L1" s="382"/>
      <c r="M1" s="382"/>
      <c r="N1" s="382"/>
      <c r="O1" s="382"/>
      <c r="P1" s="382"/>
    </row>
    <row r="2" spans="1:16" ht="15" thickBot="1" x14ac:dyDescent="0.35">
      <c r="A2"/>
      <c r="B2"/>
      <c r="C2"/>
      <c r="D2"/>
      <c r="E2"/>
      <c r="F2"/>
      <c r="G2"/>
      <c r="H2"/>
      <c r="I2"/>
      <c r="J2"/>
      <c r="K2"/>
      <c r="L2"/>
      <c r="M2"/>
      <c r="N2"/>
      <c r="O2"/>
      <c r="P2"/>
    </row>
    <row r="3" spans="1:16" ht="15" thickBot="1" x14ac:dyDescent="0.35">
      <c r="A3" s="388" t="s">
        <v>242</v>
      </c>
      <c r="B3" s="389"/>
      <c r="C3" s="390"/>
      <c r="D3" s="189" t="s">
        <v>239</v>
      </c>
      <c r="E3"/>
      <c r="F3" s="395" t="s">
        <v>248</v>
      </c>
      <c r="G3" s="396"/>
      <c r="H3" s="397"/>
      <c r="I3" s="189" t="s">
        <v>239</v>
      </c>
      <c r="J3" s="9"/>
      <c r="K3" s="9"/>
      <c r="L3" s="9"/>
      <c r="M3" s="9"/>
      <c r="N3" s="9"/>
      <c r="O3" s="9"/>
      <c r="P3"/>
    </row>
    <row r="4" spans="1:16" ht="16.2" thickBot="1" x14ac:dyDescent="0.35">
      <c r="A4" s="185">
        <v>20</v>
      </c>
      <c r="B4" s="186"/>
      <c r="C4" s="187">
        <v>78.41</v>
      </c>
      <c r="D4" s="188">
        <v>0</v>
      </c>
      <c r="E4"/>
      <c r="F4" s="190" t="s">
        <v>244</v>
      </c>
      <c r="G4" s="398" t="s">
        <v>247</v>
      </c>
      <c r="H4" s="399"/>
      <c r="I4" s="191">
        <f>IF(G4=K6,O6,IF(G4=K7,O7,IF(G4=K8,O8,IF(G4=K9,O9,IF(G4=K10,O10,IF(G4=K11,O11,IF(G4=K12,O12,"ERRO")))))))</f>
        <v>35</v>
      </c>
      <c r="J4" s="9"/>
      <c r="K4" s="9"/>
      <c r="L4" s="9"/>
      <c r="M4" s="9"/>
      <c r="N4" s="9"/>
      <c r="O4" s="9"/>
      <c r="P4"/>
    </row>
    <row r="5" spans="1:16" ht="15" thickBot="1" x14ac:dyDescent="0.35">
      <c r="A5" s="166">
        <v>21</v>
      </c>
      <c r="B5" s="148">
        <v>40</v>
      </c>
      <c r="C5" s="149">
        <f t="shared" ref="C5:C14" si="0">C4-(($C$4)*0.05)</f>
        <v>74.489499999999992</v>
      </c>
      <c r="D5" s="391"/>
      <c r="E5"/>
      <c r="F5" s="181">
        <v>20</v>
      </c>
      <c r="G5" s="182"/>
      <c r="H5" s="183">
        <f>I4</f>
        <v>35</v>
      </c>
      <c r="I5" s="184">
        <v>0</v>
      </c>
      <c r="J5" s="9"/>
      <c r="K5" s="400" t="s">
        <v>245</v>
      </c>
      <c r="L5" s="401"/>
      <c r="M5" s="401"/>
      <c r="N5" s="401"/>
      <c r="O5" s="402"/>
      <c r="P5"/>
    </row>
    <row r="6" spans="1:16" x14ac:dyDescent="0.3">
      <c r="A6" s="166">
        <v>41</v>
      </c>
      <c r="B6" s="148">
        <v>60</v>
      </c>
      <c r="C6" s="149">
        <f t="shared" si="0"/>
        <v>70.568999999999988</v>
      </c>
      <c r="D6" s="391"/>
      <c r="E6"/>
      <c r="F6" s="172">
        <v>21</v>
      </c>
      <c r="G6" s="169">
        <v>40</v>
      </c>
      <c r="H6" s="170">
        <f t="shared" ref="H6:H15" si="1">H5-(($H$5)*0.05)</f>
        <v>33.25</v>
      </c>
      <c r="I6" s="403"/>
      <c r="J6" s="9"/>
      <c r="K6" s="178" t="s">
        <v>246</v>
      </c>
      <c r="L6" s="179"/>
      <c r="M6" s="179"/>
      <c r="N6" s="179"/>
      <c r="O6" s="180">
        <v>11</v>
      </c>
      <c r="P6"/>
    </row>
    <row r="7" spans="1:16" x14ac:dyDescent="0.3">
      <c r="A7" s="166">
        <v>61</v>
      </c>
      <c r="B7" s="148">
        <v>80</v>
      </c>
      <c r="C7" s="149">
        <f t="shared" si="0"/>
        <v>66.648499999999984</v>
      </c>
      <c r="D7" s="391"/>
      <c r="E7"/>
      <c r="F7" s="172">
        <v>41</v>
      </c>
      <c r="G7" s="169">
        <v>60</v>
      </c>
      <c r="H7" s="170">
        <f t="shared" si="1"/>
        <v>31.5</v>
      </c>
      <c r="I7" s="403"/>
      <c r="J7" s="9"/>
      <c r="K7" s="162" t="s">
        <v>18</v>
      </c>
      <c r="L7" s="160"/>
      <c r="M7" s="160"/>
      <c r="N7" s="160"/>
      <c r="O7" s="161">
        <v>19.8</v>
      </c>
      <c r="P7"/>
    </row>
    <row r="8" spans="1:16" x14ac:dyDescent="0.3">
      <c r="A8" s="167">
        <v>81</v>
      </c>
      <c r="B8" s="150">
        <v>100</v>
      </c>
      <c r="C8" s="149">
        <f t="shared" si="0"/>
        <v>62.727999999999987</v>
      </c>
      <c r="D8" s="391"/>
      <c r="E8"/>
      <c r="F8" s="172">
        <v>61</v>
      </c>
      <c r="G8" s="169">
        <v>80</v>
      </c>
      <c r="H8" s="170">
        <f t="shared" si="1"/>
        <v>29.75</v>
      </c>
      <c r="I8" s="403"/>
      <c r="J8" s="9"/>
      <c r="K8" s="162" t="s">
        <v>19</v>
      </c>
      <c r="L8" s="160"/>
      <c r="M8" s="160"/>
      <c r="N8" s="160"/>
      <c r="O8" s="161">
        <v>16.5</v>
      </c>
      <c r="P8"/>
    </row>
    <row r="9" spans="1:16" x14ac:dyDescent="0.3">
      <c r="A9" s="166">
        <v>101</v>
      </c>
      <c r="B9" s="148">
        <v>120</v>
      </c>
      <c r="C9" s="149">
        <f t="shared" si="0"/>
        <v>58.80749999999999</v>
      </c>
      <c r="D9" s="391"/>
      <c r="E9"/>
      <c r="F9" s="173">
        <v>81</v>
      </c>
      <c r="G9" s="171">
        <v>100</v>
      </c>
      <c r="H9" s="170">
        <f t="shared" si="1"/>
        <v>28</v>
      </c>
      <c r="I9" s="403"/>
      <c r="J9" s="9"/>
      <c r="K9" s="162" t="s">
        <v>20</v>
      </c>
      <c r="L9" s="160"/>
      <c r="M9" s="160"/>
      <c r="N9" s="160"/>
      <c r="O9" s="161">
        <v>19.8</v>
      </c>
      <c r="P9" s="2"/>
    </row>
    <row r="10" spans="1:16" x14ac:dyDescent="0.3">
      <c r="A10" s="166">
        <v>121</v>
      </c>
      <c r="B10" s="148">
        <v>140</v>
      </c>
      <c r="C10" s="149">
        <f t="shared" si="0"/>
        <v>54.886999999999993</v>
      </c>
      <c r="D10" s="391"/>
      <c r="E10"/>
      <c r="F10" s="172">
        <v>101</v>
      </c>
      <c r="G10" s="169">
        <v>120</v>
      </c>
      <c r="H10" s="170">
        <f t="shared" si="1"/>
        <v>26.25</v>
      </c>
      <c r="I10" s="403"/>
      <c r="J10" s="9"/>
      <c r="K10" s="162" t="s">
        <v>21</v>
      </c>
      <c r="L10" s="160"/>
      <c r="M10" s="160"/>
      <c r="N10" s="160"/>
      <c r="O10" s="161">
        <v>8.8000000000000007</v>
      </c>
      <c r="P10"/>
    </row>
    <row r="11" spans="1:16" x14ac:dyDescent="0.3">
      <c r="A11" s="166">
        <v>141</v>
      </c>
      <c r="B11" s="148">
        <v>160</v>
      </c>
      <c r="C11" s="149">
        <f t="shared" si="0"/>
        <v>50.966499999999996</v>
      </c>
      <c r="D11" s="391"/>
      <c r="E11"/>
      <c r="F11" s="172">
        <v>121</v>
      </c>
      <c r="G11" s="169">
        <v>140</v>
      </c>
      <c r="H11" s="170">
        <f t="shared" si="1"/>
        <v>24.5</v>
      </c>
      <c r="I11" s="403"/>
      <c r="J11" s="9"/>
      <c r="K11" s="162" t="s">
        <v>247</v>
      </c>
      <c r="L11" s="160"/>
      <c r="M11" s="160"/>
      <c r="N11" s="160"/>
      <c r="O11" s="161">
        <v>35</v>
      </c>
      <c r="P11"/>
    </row>
    <row r="12" spans="1:16" ht="15" thickBot="1" x14ac:dyDescent="0.35">
      <c r="A12" s="166">
        <v>161</v>
      </c>
      <c r="B12" s="148">
        <v>180</v>
      </c>
      <c r="C12" s="149">
        <f t="shared" si="0"/>
        <v>47.045999999999999</v>
      </c>
      <c r="D12" s="391"/>
      <c r="E12"/>
      <c r="F12" s="172">
        <v>141</v>
      </c>
      <c r="G12" s="169">
        <v>160</v>
      </c>
      <c r="H12" s="170">
        <f t="shared" si="1"/>
        <v>22.75</v>
      </c>
      <c r="I12" s="403"/>
      <c r="J12" s="9"/>
      <c r="K12" s="163" t="s">
        <v>249</v>
      </c>
      <c r="L12" s="164"/>
      <c r="M12" s="164"/>
      <c r="N12" s="164"/>
      <c r="O12" s="165">
        <v>19.8</v>
      </c>
      <c r="P12"/>
    </row>
    <row r="13" spans="1:16" x14ac:dyDescent="0.3">
      <c r="A13" s="166">
        <v>181</v>
      </c>
      <c r="B13" s="148">
        <v>200</v>
      </c>
      <c r="C13" s="149">
        <f t="shared" si="0"/>
        <v>43.125500000000002</v>
      </c>
      <c r="D13" s="391"/>
      <c r="E13"/>
      <c r="F13" s="172">
        <v>161</v>
      </c>
      <c r="G13" s="169">
        <v>180</v>
      </c>
      <c r="H13" s="170">
        <f t="shared" si="1"/>
        <v>21</v>
      </c>
      <c r="I13" s="403"/>
      <c r="J13" s="9"/>
      <c r="K13" s="9"/>
      <c r="L13" s="9"/>
      <c r="M13" s="9"/>
      <c r="N13" s="9"/>
      <c r="O13" s="9"/>
      <c r="P13"/>
    </row>
    <row r="14" spans="1:16" x14ac:dyDescent="0.3">
      <c r="A14" s="166" t="s">
        <v>240</v>
      </c>
      <c r="B14" s="148"/>
      <c r="C14" s="149">
        <f t="shared" si="0"/>
        <v>39.205000000000005</v>
      </c>
      <c r="D14" s="168">
        <f>C14/C4</f>
        <v>0.50000000000000011</v>
      </c>
      <c r="E14"/>
      <c r="F14" s="172">
        <v>181</v>
      </c>
      <c r="G14" s="169">
        <v>200</v>
      </c>
      <c r="H14" s="170">
        <f t="shared" si="1"/>
        <v>19.25</v>
      </c>
      <c r="I14" s="403"/>
      <c r="J14" s="9"/>
      <c r="K14" s="9"/>
      <c r="L14" s="9"/>
      <c r="M14" s="9"/>
      <c r="N14" s="9"/>
      <c r="O14" s="9"/>
      <c r="P14"/>
    </row>
    <row r="15" spans="1:16" ht="15" thickBot="1" x14ac:dyDescent="0.35">
      <c r="A15" s="392" t="s">
        <v>243</v>
      </c>
      <c r="B15" s="393"/>
      <c r="C15" s="393"/>
      <c r="D15" s="394"/>
      <c r="E15"/>
      <c r="F15" s="174" t="s">
        <v>240</v>
      </c>
      <c r="G15" s="175"/>
      <c r="H15" s="176">
        <f t="shared" si="1"/>
        <v>17.5</v>
      </c>
      <c r="I15" s="177">
        <f>H15/H5</f>
        <v>0.5</v>
      </c>
      <c r="J15" s="9"/>
      <c r="K15" s="9"/>
      <c r="L15" s="9"/>
      <c r="M15" s="9"/>
      <c r="N15" s="9"/>
      <c r="O15" s="9"/>
      <c r="P15"/>
    </row>
    <row r="16" spans="1:16" x14ac:dyDescent="0.3">
      <c r="A16"/>
      <c r="B16"/>
      <c r="C16"/>
      <c r="D16"/>
      <c r="E16"/>
      <c r="F16"/>
      <c r="G16"/>
      <c r="H16"/>
      <c r="I16"/>
      <c r="J16"/>
      <c r="K16"/>
      <c r="L16"/>
      <c r="M16"/>
      <c r="N16"/>
      <c r="O16"/>
      <c r="P16"/>
    </row>
    <row r="17" spans="1:16" x14ac:dyDescent="0.3">
      <c r="A17"/>
      <c r="B17"/>
      <c r="C17"/>
      <c r="D17"/>
      <c r="E17"/>
      <c r="F17"/>
      <c r="G17"/>
      <c r="H17"/>
      <c r="I17"/>
      <c r="J17"/>
      <c r="K17"/>
      <c r="L17"/>
      <c r="M17"/>
      <c r="N17"/>
      <c r="O17"/>
      <c r="P17"/>
    </row>
    <row r="21" spans="1:16" x14ac:dyDescent="0.3">
      <c r="D21" s="303"/>
      <c r="I21" s="303"/>
    </row>
    <row r="22" spans="1:16" x14ac:dyDescent="0.3">
      <c r="D22" s="302"/>
      <c r="E22" s="300"/>
      <c r="F22" s="301"/>
      <c r="G22" s="301"/>
      <c r="I22" s="302"/>
      <c r="J22" s="304"/>
    </row>
    <row r="23" spans="1:16" x14ac:dyDescent="0.3">
      <c r="D23" s="302"/>
      <c r="E23" s="300"/>
      <c r="I23" s="302"/>
      <c r="J23" s="304"/>
    </row>
    <row r="24" spans="1:16" x14ac:dyDescent="0.3">
      <c r="D24" s="302"/>
      <c r="E24" s="300"/>
      <c r="I24" s="302"/>
      <c r="J24" s="304"/>
    </row>
    <row r="25" spans="1:16" x14ac:dyDescent="0.3">
      <c r="D25" s="302"/>
      <c r="E25" s="300"/>
      <c r="I25" s="302"/>
      <c r="J25" s="304"/>
    </row>
    <row r="26" spans="1:16" x14ac:dyDescent="0.3">
      <c r="D26" s="302"/>
      <c r="E26" s="300"/>
      <c r="I26" s="302"/>
      <c r="J26" s="304"/>
    </row>
    <row r="27" spans="1:16" x14ac:dyDescent="0.3">
      <c r="J27" s="304"/>
    </row>
  </sheetData>
  <mergeCells count="8">
    <mergeCell ref="A1:P1"/>
    <mergeCell ref="A3:C3"/>
    <mergeCell ref="D5:D13"/>
    <mergeCell ref="A15:D15"/>
    <mergeCell ref="F3:H3"/>
    <mergeCell ref="G4:H4"/>
    <mergeCell ref="K5:O5"/>
    <mergeCell ref="I6:I14"/>
  </mergeCells>
  <dataValidations count="1">
    <dataValidation type="list" allowBlank="1" showInputMessage="1" showErrorMessage="1" sqref="G4:H4" xr:uid="{F709D989-0588-4DAD-B3DB-0BE1189B858B}">
      <formula1>$K$6:$K$12</formula1>
    </dataValidation>
  </dataValidation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E0933-C0BD-4065-8FF2-5BCE342523A7}">
  <sheetPr>
    <pageSetUpPr fitToPage="1"/>
  </sheetPr>
  <dimension ref="A1:P61"/>
  <sheetViews>
    <sheetView showGridLines="0" topLeftCell="E1" zoomScale="85" zoomScaleNormal="85" workbookViewId="0">
      <selection sqref="A1:P61"/>
    </sheetView>
  </sheetViews>
  <sheetFormatPr defaultColWidth="9.109375" defaultRowHeight="14.4" x14ac:dyDescent="0.3"/>
  <cols>
    <col min="1" max="5" width="28.6640625" style="115" customWidth="1"/>
    <col min="6" max="6" width="9.109375" style="115"/>
    <col min="7" max="11" width="28.6640625" style="115" customWidth="1"/>
    <col min="12" max="16384" width="9.109375" style="115"/>
  </cols>
  <sheetData>
    <row r="1" spans="1:16" ht="18" x14ac:dyDescent="0.35">
      <c r="A1" s="377" t="s">
        <v>42</v>
      </c>
      <c r="B1" s="378"/>
      <c r="C1" s="378"/>
      <c r="D1" s="378"/>
      <c r="E1" s="378"/>
      <c r="F1" s="378"/>
      <c r="G1" s="378"/>
      <c r="H1" s="378"/>
      <c r="I1" s="378"/>
      <c r="J1" s="378"/>
      <c r="K1" s="378"/>
      <c r="L1" s="378"/>
      <c r="M1" s="378"/>
      <c r="N1" s="378"/>
      <c r="O1" s="404"/>
      <c r="P1"/>
    </row>
    <row r="2" spans="1:16" x14ac:dyDescent="0.3">
      <c r="A2"/>
      <c r="B2"/>
      <c r="C2"/>
      <c r="D2"/>
      <c r="E2"/>
      <c r="F2"/>
      <c r="G2"/>
      <c r="H2"/>
      <c r="I2"/>
      <c r="J2"/>
      <c r="K2"/>
      <c r="L2"/>
      <c r="M2"/>
      <c r="N2"/>
      <c r="O2"/>
      <c r="P2"/>
    </row>
    <row r="3" spans="1:16" x14ac:dyDescent="0.3">
      <c r="A3"/>
      <c r="B3"/>
      <c r="C3"/>
      <c r="D3"/>
      <c r="E3"/>
      <c r="F3"/>
      <c r="G3"/>
      <c r="H3"/>
      <c r="I3"/>
      <c r="J3"/>
      <c r="K3"/>
      <c r="L3"/>
      <c r="M3"/>
      <c r="N3"/>
      <c r="O3"/>
      <c r="P3"/>
    </row>
    <row r="4" spans="1:16" x14ac:dyDescent="0.3">
      <c r="A4"/>
      <c r="B4"/>
      <c r="C4"/>
      <c r="D4"/>
      <c r="E4"/>
      <c r="F4"/>
      <c r="G4"/>
      <c r="H4"/>
      <c r="I4"/>
      <c r="J4"/>
      <c r="K4"/>
      <c r="L4"/>
      <c r="M4"/>
      <c r="N4"/>
      <c r="O4"/>
      <c r="P4"/>
    </row>
    <row r="5" spans="1:16" x14ac:dyDescent="0.3">
      <c r="A5"/>
      <c r="B5"/>
      <c r="C5"/>
      <c r="D5"/>
      <c r="E5"/>
      <c r="F5"/>
      <c r="G5"/>
      <c r="H5"/>
      <c r="I5"/>
      <c r="J5"/>
      <c r="K5"/>
      <c r="L5"/>
      <c r="M5"/>
      <c r="N5"/>
      <c r="O5"/>
      <c r="P5"/>
    </row>
    <row r="6" spans="1:16" x14ac:dyDescent="0.3">
      <c r="A6"/>
      <c r="B6"/>
      <c r="C6"/>
      <c r="D6"/>
      <c r="E6"/>
      <c r="F6"/>
      <c r="G6"/>
      <c r="H6"/>
      <c r="I6"/>
      <c r="J6"/>
      <c r="K6"/>
      <c r="L6"/>
      <c r="M6"/>
      <c r="N6"/>
      <c r="O6"/>
      <c r="P6"/>
    </row>
    <row r="7" spans="1:16" x14ac:dyDescent="0.3">
      <c r="A7"/>
      <c r="B7"/>
      <c r="C7"/>
      <c r="D7"/>
      <c r="E7"/>
      <c r="F7"/>
      <c r="G7"/>
      <c r="H7"/>
      <c r="I7"/>
      <c r="J7"/>
      <c r="K7"/>
      <c r="L7"/>
      <c r="M7"/>
      <c r="N7"/>
      <c r="O7"/>
      <c r="P7"/>
    </row>
    <row r="8" spans="1:16" x14ac:dyDescent="0.3">
      <c r="A8"/>
      <c r="B8"/>
      <c r="C8"/>
      <c r="D8"/>
      <c r="E8"/>
      <c r="F8"/>
      <c r="G8"/>
      <c r="H8"/>
      <c r="I8"/>
      <c r="J8"/>
      <c r="K8"/>
      <c r="L8"/>
      <c r="M8"/>
      <c r="N8"/>
      <c r="O8"/>
      <c r="P8"/>
    </row>
    <row r="9" spans="1:16" x14ac:dyDescent="0.3">
      <c r="A9"/>
      <c r="B9"/>
      <c r="C9"/>
      <c r="D9"/>
      <c r="E9"/>
      <c r="F9"/>
      <c r="G9"/>
      <c r="H9"/>
      <c r="I9"/>
      <c r="J9"/>
      <c r="K9"/>
      <c r="L9"/>
      <c r="M9"/>
      <c r="N9"/>
      <c r="O9"/>
      <c r="P9"/>
    </row>
    <row r="10" spans="1:16" x14ac:dyDescent="0.3">
      <c r="A10"/>
      <c r="B10"/>
      <c r="C10"/>
      <c r="D10"/>
      <c r="E10"/>
      <c r="F10"/>
      <c r="G10"/>
      <c r="H10"/>
      <c r="I10"/>
      <c r="J10"/>
      <c r="K10"/>
      <c r="L10"/>
      <c r="M10"/>
      <c r="N10"/>
      <c r="O10"/>
      <c r="P10"/>
    </row>
    <row r="11" spans="1:16" x14ac:dyDescent="0.3">
      <c r="A11"/>
      <c r="B11"/>
      <c r="C11"/>
      <c r="D11"/>
      <c r="E11"/>
      <c r="F11"/>
      <c r="G11"/>
      <c r="H11"/>
      <c r="I11"/>
      <c r="J11"/>
      <c r="K11"/>
      <c r="L11"/>
      <c r="M11"/>
      <c r="N11"/>
      <c r="O11"/>
      <c r="P11"/>
    </row>
    <row r="12" spans="1:16" x14ac:dyDescent="0.3">
      <c r="A12"/>
      <c r="B12"/>
      <c r="C12"/>
      <c r="D12"/>
      <c r="E12"/>
      <c r="F12"/>
      <c r="G12"/>
      <c r="H12"/>
      <c r="I12"/>
      <c r="J12"/>
      <c r="K12"/>
      <c r="L12"/>
      <c r="M12"/>
      <c r="N12"/>
      <c r="O12"/>
      <c r="P12"/>
    </row>
    <row r="13" spans="1:16" x14ac:dyDescent="0.3">
      <c r="A13"/>
      <c r="B13"/>
      <c r="C13"/>
      <c r="D13"/>
      <c r="E13"/>
      <c r="F13"/>
      <c r="G13"/>
      <c r="H13"/>
      <c r="I13"/>
      <c r="J13"/>
      <c r="K13"/>
      <c r="L13"/>
      <c r="M13"/>
      <c r="N13"/>
      <c r="O13"/>
      <c r="P13"/>
    </row>
    <row r="14" spans="1:16" x14ac:dyDescent="0.3">
      <c r="A14"/>
      <c r="B14"/>
      <c r="C14"/>
      <c r="D14"/>
      <c r="E14"/>
      <c r="F14"/>
      <c r="G14"/>
      <c r="H14"/>
      <c r="I14"/>
      <c r="J14"/>
      <c r="K14"/>
      <c r="L14"/>
      <c r="M14"/>
      <c r="N14"/>
      <c r="O14"/>
      <c r="P14"/>
    </row>
    <row r="15" spans="1:16" x14ac:dyDescent="0.3">
      <c r="A15"/>
      <c r="B15"/>
      <c r="C15"/>
      <c r="D15"/>
      <c r="E15"/>
      <c r="F15"/>
      <c r="G15"/>
      <c r="H15"/>
      <c r="I15"/>
      <c r="J15"/>
      <c r="K15"/>
      <c r="L15"/>
      <c r="M15"/>
      <c r="N15"/>
      <c r="O15"/>
      <c r="P15"/>
    </row>
    <row r="16" spans="1:16" x14ac:dyDescent="0.3">
      <c r="A16"/>
      <c r="B16"/>
      <c r="C16"/>
      <c r="D16"/>
      <c r="E16"/>
      <c r="F16"/>
      <c r="G16"/>
      <c r="H16"/>
      <c r="I16"/>
      <c r="J16"/>
      <c r="K16"/>
      <c r="L16"/>
      <c r="M16"/>
      <c r="N16"/>
      <c r="O16"/>
      <c r="P16"/>
    </row>
    <row r="17" spans="1:16" x14ac:dyDescent="0.3">
      <c r="A17"/>
      <c r="B17"/>
      <c r="C17"/>
      <c r="D17"/>
      <c r="E17"/>
      <c r="F17"/>
      <c r="G17"/>
      <c r="H17"/>
      <c r="I17"/>
      <c r="J17"/>
      <c r="K17"/>
      <c r="L17"/>
      <c r="M17"/>
      <c r="N17"/>
      <c r="O17"/>
      <c r="P17"/>
    </row>
    <row r="18" spans="1:16" x14ac:dyDescent="0.3">
      <c r="A18"/>
      <c r="B18"/>
      <c r="C18"/>
      <c r="D18"/>
      <c r="E18"/>
      <c r="F18"/>
      <c r="G18"/>
      <c r="H18"/>
      <c r="I18"/>
      <c r="J18"/>
      <c r="K18"/>
      <c r="L18"/>
      <c r="M18"/>
      <c r="N18"/>
      <c r="O18"/>
      <c r="P18"/>
    </row>
    <row r="19" spans="1:16" x14ac:dyDescent="0.3">
      <c r="A19"/>
      <c r="B19"/>
      <c r="C19"/>
      <c r="D19"/>
      <c r="E19"/>
      <c r="F19"/>
      <c r="G19"/>
      <c r="H19"/>
      <c r="I19"/>
      <c r="J19"/>
      <c r="K19"/>
      <c r="L19"/>
      <c r="M19"/>
      <c r="N19"/>
      <c r="O19"/>
      <c r="P19"/>
    </row>
    <row r="20" spans="1:16" x14ac:dyDescent="0.3">
      <c r="A20"/>
      <c r="B20"/>
      <c r="C20"/>
      <c r="D20"/>
      <c r="E20"/>
      <c r="F20"/>
      <c r="G20"/>
      <c r="H20"/>
      <c r="I20"/>
      <c r="J20"/>
      <c r="K20"/>
      <c r="L20"/>
      <c r="M20"/>
      <c r="N20"/>
      <c r="O20"/>
      <c r="P20"/>
    </row>
    <row r="21" spans="1:16" x14ac:dyDescent="0.3">
      <c r="A21"/>
      <c r="B21"/>
      <c r="C21"/>
      <c r="D21"/>
      <c r="E21"/>
      <c r="F21"/>
      <c r="G21"/>
      <c r="H21"/>
      <c r="I21"/>
      <c r="J21"/>
      <c r="K21"/>
      <c r="L21"/>
      <c r="M21"/>
      <c r="N21"/>
      <c r="O21"/>
      <c r="P21"/>
    </row>
    <row r="22" spans="1:16" x14ac:dyDescent="0.3">
      <c r="A22"/>
      <c r="B22"/>
      <c r="C22"/>
      <c r="D22"/>
      <c r="E22"/>
      <c r="F22"/>
      <c r="G22"/>
      <c r="H22"/>
      <c r="I22"/>
      <c r="J22"/>
      <c r="K22"/>
      <c r="L22"/>
      <c r="M22"/>
      <c r="N22"/>
      <c r="O22"/>
      <c r="P22"/>
    </row>
    <row r="23" spans="1:16" x14ac:dyDescent="0.3">
      <c r="A23"/>
      <c r="B23"/>
      <c r="C23"/>
      <c r="D23"/>
      <c r="E23"/>
      <c r="F23"/>
      <c r="G23"/>
      <c r="H23"/>
      <c r="I23"/>
      <c r="J23"/>
      <c r="K23"/>
      <c r="L23"/>
      <c r="M23"/>
      <c r="N23"/>
      <c r="O23"/>
      <c r="P23"/>
    </row>
    <row r="24" spans="1:16" x14ac:dyDescent="0.3">
      <c r="A24"/>
      <c r="B24"/>
      <c r="C24"/>
      <c r="D24"/>
      <c r="E24"/>
      <c r="F24"/>
      <c r="G24"/>
      <c r="H24"/>
      <c r="I24"/>
      <c r="J24"/>
      <c r="K24"/>
      <c r="L24"/>
      <c r="M24"/>
      <c r="N24"/>
      <c r="O24"/>
      <c r="P24"/>
    </row>
    <row r="25" spans="1:16" x14ac:dyDescent="0.3">
      <c r="A25"/>
      <c r="B25"/>
      <c r="C25"/>
      <c r="D25"/>
      <c r="E25"/>
      <c r="F25"/>
      <c r="G25"/>
      <c r="H25"/>
      <c r="I25"/>
      <c r="J25"/>
      <c r="K25"/>
      <c r="L25"/>
      <c r="M25"/>
      <c r="N25"/>
      <c r="O25"/>
      <c r="P25"/>
    </row>
    <row r="26" spans="1:16" x14ac:dyDescent="0.3">
      <c r="A26"/>
      <c r="B26"/>
      <c r="C26"/>
      <c r="D26"/>
      <c r="E26"/>
      <c r="F26"/>
      <c r="G26"/>
      <c r="H26"/>
      <c r="I26"/>
      <c r="J26"/>
      <c r="K26"/>
      <c r="L26"/>
      <c r="M26"/>
      <c r="N26"/>
      <c r="O26"/>
      <c r="P26"/>
    </row>
    <row r="27" spans="1:16" x14ac:dyDescent="0.3">
      <c r="A27"/>
      <c r="B27"/>
      <c r="C27"/>
      <c r="D27"/>
      <c r="E27"/>
      <c r="F27"/>
      <c r="G27"/>
      <c r="H27"/>
      <c r="I27"/>
      <c r="J27"/>
      <c r="K27"/>
      <c r="L27"/>
      <c r="M27"/>
      <c r="N27"/>
      <c r="O27"/>
      <c r="P27"/>
    </row>
    <row r="28" spans="1:16" x14ac:dyDescent="0.3">
      <c r="A28"/>
      <c r="B28"/>
      <c r="C28"/>
      <c r="D28"/>
      <c r="E28"/>
      <c r="F28"/>
      <c r="G28"/>
      <c r="H28"/>
      <c r="I28"/>
      <c r="J28"/>
      <c r="K28"/>
      <c r="L28"/>
      <c r="M28"/>
      <c r="N28"/>
      <c r="O28"/>
      <c r="P28"/>
    </row>
    <row r="29" spans="1:16" x14ac:dyDescent="0.3">
      <c r="A29"/>
      <c r="B29"/>
      <c r="C29"/>
      <c r="D29"/>
      <c r="E29"/>
      <c r="F29"/>
      <c r="G29"/>
      <c r="H29"/>
      <c r="I29"/>
      <c r="J29"/>
      <c r="K29"/>
      <c r="L29"/>
      <c r="M29"/>
      <c r="N29"/>
      <c r="O29"/>
      <c r="P29"/>
    </row>
    <row r="30" spans="1:16" x14ac:dyDescent="0.3">
      <c r="A30"/>
      <c r="B30"/>
      <c r="C30"/>
      <c r="D30"/>
      <c r="E30"/>
      <c r="F30"/>
      <c r="G30"/>
      <c r="H30"/>
      <c r="I30"/>
      <c r="J30"/>
      <c r="K30"/>
      <c r="L30"/>
      <c r="M30"/>
      <c r="N30"/>
      <c r="O30"/>
      <c r="P30"/>
    </row>
    <row r="31" spans="1:16" x14ac:dyDescent="0.3">
      <c r="A31"/>
      <c r="B31"/>
      <c r="C31"/>
      <c r="D31"/>
      <c r="E31"/>
      <c r="F31"/>
      <c r="G31"/>
      <c r="H31"/>
      <c r="I31"/>
      <c r="J31"/>
      <c r="K31"/>
      <c r="L31"/>
      <c r="M31"/>
      <c r="N31"/>
      <c r="O31"/>
      <c r="P31"/>
    </row>
    <row r="32" spans="1:16" x14ac:dyDescent="0.3">
      <c r="A32"/>
      <c r="B32"/>
      <c r="C32"/>
      <c r="D32"/>
      <c r="E32"/>
      <c r="F32"/>
      <c r="G32"/>
      <c r="H32"/>
      <c r="I32"/>
      <c r="J32"/>
      <c r="K32"/>
      <c r="L32"/>
      <c r="M32"/>
      <c r="N32"/>
      <c r="O32"/>
      <c r="P32"/>
    </row>
    <row r="33" spans="1:16" x14ac:dyDescent="0.3">
      <c r="A33"/>
      <c r="B33"/>
      <c r="C33"/>
      <c r="D33"/>
      <c r="E33"/>
      <c r="F33"/>
      <c r="G33"/>
      <c r="H33"/>
      <c r="I33"/>
      <c r="J33"/>
      <c r="K33"/>
      <c r="L33"/>
      <c r="M33"/>
      <c r="N33"/>
      <c r="O33"/>
      <c r="P33"/>
    </row>
    <row r="34" spans="1:16" x14ac:dyDescent="0.3">
      <c r="A34"/>
      <c r="B34"/>
      <c r="C34"/>
      <c r="D34"/>
      <c r="E34"/>
      <c r="F34"/>
      <c r="G34"/>
      <c r="H34"/>
      <c r="I34"/>
      <c r="J34"/>
      <c r="K34"/>
      <c r="L34"/>
      <c r="M34"/>
      <c r="N34"/>
      <c r="O34"/>
      <c r="P34"/>
    </row>
    <row r="35" spans="1:16" x14ac:dyDescent="0.3">
      <c r="A35"/>
      <c r="B35"/>
      <c r="C35"/>
      <c r="D35"/>
      <c r="E35"/>
      <c r="F35"/>
      <c r="G35"/>
      <c r="H35"/>
      <c r="I35"/>
      <c r="J35"/>
      <c r="K35"/>
      <c r="L35"/>
      <c r="M35"/>
      <c r="N35"/>
      <c r="O35"/>
      <c r="P35"/>
    </row>
    <row r="36" spans="1:16" x14ac:dyDescent="0.3">
      <c r="A36"/>
      <c r="B36"/>
      <c r="C36"/>
      <c r="D36"/>
      <c r="E36"/>
      <c r="F36"/>
      <c r="G36"/>
      <c r="H36"/>
      <c r="I36"/>
      <c r="J36"/>
      <c r="K36"/>
      <c r="L36"/>
      <c r="M36"/>
      <c r="N36"/>
      <c r="O36"/>
      <c r="P36"/>
    </row>
    <row r="37" spans="1:16" x14ac:dyDescent="0.3">
      <c r="A37"/>
      <c r="B37"/>
      <c r="C37"/>
      <c r="D37"/>
      <c r="E37"/>
      <c r="F37"/>
      <c r="G37"/>
      <c r="H37"/>
      <c r="I37"/>
      <c r="J37"/>
      <c r="K37"/>
      <c r="L37"/>
      <c r="M37"/>
      <c r="N37"/>
      <c r="O37"/>
      <c r="P37"/>
    </row>
    <row r="38" spans="1:16" x14ac:dyDescent="0.3">
      <c r="A38"/>
      <c r="B38"/>
      <c r="C38"/>
      <c r="D38"/>
      <c r="E38"/>
      <c r="F38"/>
      <c r="G38"/>
      <c r="H38"/>
      <c r="I38"/>
      <c r="J38"/>
      <c r="K38"/>
      <c r="L38"/>
      <c r="M38"/>
      <c r="N38"/>
      <c r="O38"/>
      <c r="P38"/>
    </row>
    <row r="39" spans="1:16" x14ac:dyDescent="0.3">
      <c r="A39"/>
      <c r="B39"/>
      <c r="C39"/>
      <c r="D39"/>
      <c r="E39"/>
      <c r="F39"/>
      <c r="G39"/>
      <c r="H39"/>
      <c r="I39"/>
      <c r="J39"/>
      <c r="K39"/>
      <c r="L39"/>
      <c r="M39"/>
      <c r="N39"/>
      <c r="O39"/>
      <c r="P39"/>
    </row>
    <row r="40" spans="1:16" x14ac:dyDescent="0.3">
      <c r="A40"/>
      <c r="B40"/>
      <c r="C40"/>
      <c r="D40"/>
      <c r="E40"/>
      <c r="F40"/>
      <c r="G40"/>
      <c r="H40"/>
      <c r="I40"/>
      <c r="J40"/>
      <c r="K40"/>
      <c r="L40"/>
      <c r="M40"/>
      <c r="N40"/>
      <c r="O40"/>
      <c r="P40"/>
    </row>
    <row r="41" spans="1:16" x14ac:dyDescent="0.3">
      <c r="A41"/>
      <c r="B41"/>
      <c r="C41"/>
      <c r="D41"/>
      <c r="E41"/>
      <c r="F41"/>
      <c r="G41"/>
      <c r="H41"/>
      <c r="I41"/>
      <c r="J41"/>
      <c r="K41"/>
      <c r="L41"/>
      <c r="M41"/>
      <c r="N41"/>
      <c r="O41"/>
      <c r="P41"/>
    </row>
    <row r="42" spans="1:16" x14ac:dyDescent="0.3">
      <c r="A42"/>
      <c r="B42"/>
      <c r="C42"/>
      <c r="D42"/>
      <c r="E42"/>
      <c r="F42"/>
      <c r="G42"/>
      <c r="H42"/>
      <c r="I42"/>
      <c r="J42"/>
      <c r="K42"/>
      <c r="L42"/>
      <c r="M42"/>
      <c r="N42"/>
      <c r="O42"/>
      <c r="P42"/>
    </row>
    <row r="43" spans="1:16" x14ac:dyDescent="0.3">
      <c r="A43"/>
      <c r="B43"/>
      <c r="C43"/>
      <c r="D43"/>
      <c r="E43"/>
      <c r="F43"/>
      <c r="G43"/>
      <c r="H43"/>
      <c r="I43"/>
      <c r="J43"/>
      <c r="K43"/>
      <c r="L43"/>
      <c r="M43"/>
      <c r="N43"/>
      <c r="O43"/>
      <c r="P43"/>
    </row>
    <row r="44" spans="1:16" x14ac:dyDescent="0.3">
      <c r="A44"/>
      <c r="B44"/>
      <c r="C44"/>
      <c r="D44"/>
      <c r="E44"/>
      <c r="F44"/>
      <c r="G44"/>
      <c r="H44"/>
      <c r="I44"/>
      <c r="J44"/>
      <c r="K44"/>
      <c r="L44"/>
      <c r="M44"/>
      <c r="N44"/>
      <c r="O44"/>
      <c r="P44"/>
    </row>
    <row r="45" spans="1:16" x14ac:dyDescent="0.3">
      <c r="A45"/>
      <c r="B45"/>
      <c r="C45"/>
      <c r="D45"/>
      <c r="E45"/>
      <c r="F45"/>
      <c r="G45"/>
      <c r="H45"/>
      <c r="I45"/>
      <c r="J45"/>
      <c r="K45"/>
      <c r="L45"/>
      <c r="M45"/>
      <c r="N45"/>
      <c r="O45"/>
      <c r="P45"/>
    </row>
    <row r="46" spans="1:16" x14ac:dyDescent="0.3">
      <c r="A46"/>
      <c r="B46"/>
      <c r="C46"/>
      <c r="D46"/>
      <c r="E46"/>
      <c r="F46"/>
      <c r="G46"/>
      <c r="H46"/>
      <c r="I46"/>
      <c r="J46"/>
      <c r="K46"/>
      <c r="L46"/>
      <c r="M46"/>
      <c r="N46"/>
      <c r="O46"/>
      <c r="P46"/>
    </row>
    <row r="47" spans="1:16" x14ac:dyDescent="0.3">
      <c r="A47"/>
      <c r="B47"/>
      <c r="C47"/>
      <c r="D47"/>
      <c r="E47"/>
      <c r="F47"/>
      <c r="G47"/>
      <c r="H47"/>
      <c r="I47"/>
      <c r="J47"/>
      <c r="K47"/>
      <c r="L47"/>
      <c r="M47"/>
      <c r="N47"/>
      <c r="O47"/>
      <c r="P47"/>
    </row>
    <row r="48" spans="1:16" x14ac:dyDescent="0.3">
      <c r="A48"/>
      <c r="B48"/>
      <c r="C48"/>
      <c r="D48"/>
      <c r="E48"/>
      <c r="F48"/>
      <c r="G48"/>
      <c r="H48"/>
      <c r="I48"/>
      <c r="J48"/>
      <c r="K48"/>
      <c r="L48"/>
      <c r="M48"/>
      <c r="N48"/>
      <c r="O48"/>
      <c r="P48"/>
    </row>
    <row r="49" spans="1:16" x14ac:dyDescent="0.3">
      <c r="A49"/>
      <c r="B49"/>
      <c r="C49"/>
      <c r="D49"/>
      <c r="E49"/>
      <c r="F49"/>
      <c r="G49"/>
      <c r="H49"/>
      <c r="I49"/>
      <c r="J49"/>
      <c r="K49"/>
      <c r="L49"/>
      <c r="M49"/>
      <c r="N49"/>
      <c r="O49"/>
      <c r="P49"/>
    </row>
    <row r="50" spans="1:16" x14ac:dyDescent="0.3">
      <c r="A50"/>
      <c r="B50"/>
      <c r="C50"/>
      <c r="D50"/>
      <c r="E50"/>
      <c r="F50"/>
      <c r="G50"/>
      <c r="H50"/>
      <c r="I50"/>
      <c r="J50"/>
      <c r="K50"/>
      <c r="L50"/>
      <c r="M50"/>
      <c r="N50"/>
      <c r="O50"/>
      <c r="P50"/>
    </row>
    <row r="51" spans="1:16" x14ac:dyDescent="0.3">
      <c r="A51"/>
      <c r="B51"/>
      <c r="C51"/>
      <c r="D51"/>
      <c r="E51"/>
      <c r="F51"/>
      <c r="G51"/>
      <c r="H51"/>
      <c r="I51"/>
      <c r="J51"/>
      <c r="K51"/>
      <c r="L51"/>
      <c r="M51"/>
      <c r="N51"/>
      <c r="O51"/>
      <c r="P51"/>
    </row>
    <row r="52" spans="1:16" x14ac:dyDescent="0.3">
      <c r="A52"/>
      <c r="B52"/>
      <c r="C52"/>
      <c r="D52"/>
      <c r="E52"/>
      <c r="F52"/>
      <c r="G52"/>
      <c r="H52"/>
      <c r="I52"/>
      <c r="J52"/>
      <c r="K52"/>
      <c r="L52"/>
      <c r="M52"/>
      <c r="N52"/>
      <c r="O52"/>
      <c r="P52"/>
    </row>
    <row r="53" spans="1:16" x14ac:dyDescent="0.3">
      <c r="A53"/>
      <c r="B53"/>
      <c r="C53"/>
      <c r="D53"/>
      <c r="E53"/>
      <c r="F53"/>
      <c r="G53"/>
      <c r="H53"/>
      <c r="I53"/>
      <c r="J53"/>
      <c r="K53"/>
      <c r="L53"/>
      <c r="M53"/>
      <c r="N53"/>
      <c r="O53"/>
      <c r="P53"/>
    </row>
    <row r="54" spans="1:16" x14ac:dyDescent="0.3">
      <c r="A54"/>
      <c r="B54"/>
      <c r="C54"/>
      <c r="D54"/>
      <c r="E54"/>
      <c r="F54"/>
      <c r="G54"/>
      <c r="H54"/>
      <c r="I54"/>
      <c r="J54"/>
      <c r="K54"/>
      <c r="L54"/>
      <c r="M54"/>
      <c r="N54"/>
      <c r="O54"/>
      <c r="P54"/>
    </row>
    <row r="55" spans="1:16" x14ac:dyDescent="0.3">
      <c r="A55"/>
      <c r="B55"/>
      <c r="C55"/>
      <c r="D55"/>
      <c r="E55"/>
      <c r="F55"/>
      <c r="G55"/>
      <c r="H55"/>
      <c r="I55"/>
      <c r="J55"/>
      <c r="K55"/>
      <c r="L55"/>
      <c r="M55"/>
      <c r="N55"/>
      <c r="O55"/>
      <c r="P55"/>
    </row>
    <row r="56" spans="1:16" x14ac:dyDescent="0.3">
      <c r="A56"/>
      <c r="B56"/>
      <c r="C56"/>
      <c r="D56"/>
      <c r="E56"/>
      <c r="F56"/>
      <c r="G56"/>
      <c r="H56"/>
      <c r="I56"/>
      <c r="J56"/>
      <c r="K56"/>
      <c r="L56"/>
      <c r="M56"/>
      <c r="N56"/>
      <c r="O56"/>
      <c r="P56"/>
    </row>
    <row r="57" spans="1:16" x14ac:dyDescent="0.3">
      <c r="A57"/>
      <c r="B57"/>
      <c r="C57"/>
      <c r="D57"/>
      <c r="E57"/>
      <c r="F57"/>
      <c r="G57"/>
      <c r="H57"/>
      <c r="I57"/>
      <c r="J57"/>
      <c r="K57"/>
      <c r="L57"/>
      <c r="M57"/>
      <c r="N57"/>
      <c r="O57"/>
      <c r="P57"/>
    </row>
    <row r="58" spans="1:16" x14ac:dyDescent="0.3">
      <c r="A58"/>
      <c r="B58"/>
      <c r="C58"/>
      <c r="D58"/>
      <c r="E58"/>
      <c r="F58"/>
      <c r="G58"/>
      <c r="H58"/>
      <c r="I58"/>
      <c r="J58"/>
      <c r="K58"/>
      <c r="L58"/>
      <c r="M58"/>
      <c r="N58"/>
      <c r="O58"/>
      <c r="P58"/>
    </row>
    <row r="59" spans="1:16" x14ac:dyDescent="0.3">
      <c r="A59"/>
      <c r="B59"/>
      <c r="C59"/>
      <c r="D59"/>
      <c r="E59"/>
      <c r="F59"/>
      <c r="G59"/>
      <c r="H59"/>
      <c r="I59"/>
      <c r="J59"/>
      <c r="K59"/>
      <c r="L59"/>
      <c r="M59"/>
      <c r="N59"/>
      <c r="O59"/>
      <c r="P59"/>
    </row>
    <row r="60" spans="1:16" x14ac:dyDescent="0.3">
      <c r="A60"/>
      <c r="B60"/>
      <c r="C60"/>
      <c r="D60"/>
      <c r="E60"/>
      <c r="F60"/>
      <c r="G60"/>
      <c r="H60"/>
      <c r="I60"/>
      <c r="J60"/>
      <c r="K60"/>
      <c r="L60"/>
      <c r="M60"/>
      <c r="N60"/>
      <c r="O60"/>
      <c r="P60"/>
    </row>
    <row r="61" spans="1:16" ht="15.75" customHeight="1" x14ac:dyDescent="0.3">
      <c r="A61"/>
      <c r="B61"/>
      <c r="C61"/>
      <c r="D61"/>
      <c r="E61"/>
      <c r="F61"/>
      <c r="G61"/>
      <c r="H61"/>
      <c r="I61"/>
      <c r="J61"/>
      <c r="K61"/>
      <c r="L61"/>
      <c r="M61"/>
      <c r="N61"/>
      <c r="O61"/>
      <c r="P61"/>
    </row>
  </sheetData>
  <mergeCells count="1">
    <mergeCell ref="A1:O1"/>
  </mergeCells>
  <pageMargins left="0.511811024" right="0.511811024" top="0.78740157499999996" bottom="0.78740157499999996" header="0.31496062000000002" footer="0.31496062000000002"/>
  <pageSetup paperSize="9" scale="39" orientation="landscape"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BB579-B25B-4D0B-8F11-70330832850E}">
  <dimension ref="A1:G15"/>
  <sheetViews>
    <sheetView showGridLines="0" topLeftCell="A3" workbookViewId="0">
      <selection activeCell="L12" sqref="L12"/>
    </sheetView>
  </sheetViews>
  <sheetFormatPr defaultRowHeight="14.4" x14ac:dyDescent="0.3"/>
  <cols>
    <col min="1" max="1" width="27.6640625" customWidth="1"/>
    <col min="2" max="2" width="59.33203125" bestFit="1" customWidth="1"/>
  </cols>
  <sheetData>
    <row r="1" spans="1:7" ht="21" x14ac:dyDescent="0.4">
      <c r="A1" s="306"/>
      <c r="B1" s="9"/>
      <c r="C1" s="9"/>
      <c r="D1" s="9"/>
      <c r="E1" s="9"/>
      <c r="F1" s="9"/>
      <c r="G1" s="9"/>
    </row>
    <row r="2" spans="1:7" x14ac:dyDescent="0.3">
      <c r="A2" s="305"/>
      <c r="B2" s="9"/>
      <c r="C2" s="9"/>
      <c r="D2" s="9"/>
      <c r="E2" s="9"/>
      <c r="F2" s="9"/>
      <c r="G2" s="9"/>
    </row>
    <row r="3" spans="1:7" x14ac:dyDescent="0.3">
      <c r="A3" s="305"/>
      <c r="B3" s="305"/>
      <c r="C3" s="9"/>
      <c r="D3" s="9"/>
      <c r="E3" s="9"/>
      <c r="F3" s="9"/>
      <c r="G3" s="9"/>
    </row>
    <row r="4" spans="1:7" x14ac:dyDescent="0.3">
      <c r="A4" s="9"/>
      <c r="B4" s="9"/>
      <c r="C4" s="9"/>
      <c r="D4" s="9"/>
      <c r="E4" s="9"/>
      <c r="F4" s="9"/>
      <c r="G4" s="9"/>
    </row>
    <row r="5" spans="1:7" x14ac:dyDescent="0.3">
      <c r="A5" s="9"/>
      <c r="B5" s="9"/>
      <c r="C5" s="9"/>
      <c r="D5" s="9"/>
      <c r="E5" s="9"/>
      <c r="F5" s="9"/>
      <c r="G5" s="9"/>
    </row>
    <row r="6" spans="1:7" x14ac:dyDescent="0.3">
      <c r="A6" s="9"/>
      <c r="B6" s="9"/>
      <c r="C6" s="9"/>
      <c r="D6" s="9"/>
      <c r="E6" s="9"/>
      <c r="F6" s="9"/>
      <c r="G6" s="9"/>
    </row>
    <row r="7" spans="1:7" x14ac:dyDescent="0.3">
      <c r="A7" s="9"/>
      <c r="B7" s="9"/>
      <c r="C7" s="9"/>
      <c r="D7" s="9"/>
      <c r="E7" s="9"/>
      <c r="F7" s="9"/>
      <c r="G7" s="9"/>
    </row>
    <row r="8" spans="1:7" x14ac:dyDescent="0.3">
      <c r="A8" s="9"/>
      <c r="B8" s="9"/>
      <c r="C8" s="9"/>
      <c r="D8" s="9"/>
      <c r="E8" s="9"/>
      <c r="F8" s="9"/>
      <c r="G8" s="9"/>
    </row>
    <row r="9" spans="1:7" x14ac:dyDescent="0.3">
      <c r="A9" s="9"/>
      <c r="B9" s="9"/>
      <c r="C9" s="9"/>
      <c r="D9" s="9"/>
      <c r="E9" s="9"/>
      <c r="F9" s="9"/>
      <c r="G9" s="9"/>
    </row>
    <row r="10" spans="1:7" x14ac:dyDescent="0.3">
      <c r="A10" s="9"/>
      <c r="B10" s="9"/>
      <c r="C10" s="9"/>
      <c r="D10" s="9"/>
      <c r="E10" s="9"/>
      <c r="F10" s="9"/>
      <c r="G10" s="9"/>
    </row>
    <row r="11" spans="1:7" x14ac:dyDescent="0.3">
      <c r="A11" s="9"/>
      <c r="B11" s="9"/>
      <c r="C11" s="9"/>
      <c r="D11" s="9"/>
      <c r="E11" s="9"/>
      <c r="F11" s="9"/>
      <c r="G11" s="9"/>
    </row>
    <row r="12" spans="1:7" x14ac:dyDescent="0.3">
      <c r="A12" s="9"/>
      <c r="B12" s="9"/>
      <c r="C12" s="9"/>
      <c r="D12" s="9"/>
      <c r="E12" s="9"/>
      <c r="F12" s="9"/>
      <c r="G12" s="9"/>
    </row>
    <row r="13" spans="1:7" x14ac:dyDescent="0.3">
      <c r="A13" s="9"/>
      <c r="B13" s="9"/>
      <c r="C13" s="9"/>
      <c r="D13" s="9"/>
      <c r="E13" s="9"/>
      <c r="F13" s="9"/>
      <c r="G13" s="9"/>
    </row>
    <row r="14" spans="1:7" x14ac:dyDescent="0.3">
      <c r="A14" s="9"/>
      <c r="B14" s="9"/>
      <c r="C14" s="9"/>
      <c r="D14" s="9"/>
      <c r="E14" s="9"/>
      <c r="F14" s="9"/>
      <c r="G14" s="9"/>
    </row>
    <row r="15" spans="1:7" x14ac:dyDescent="0.3">
      <c r="A15" s="9"/>
      <c r="B15" s="9"/>
      <c r="C15" s="9"/>
      <c r="D15" s="9"/>
      <c r="E15" s="9"/>
      <c r="F15" s="9"/>
      <c r="G15" s="9"/>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659B0-547F-4A37-B540-FA1A8970D359}">
  <dimension ref="A1:I47"/>
  <sheetViews>
    <sheetView showGridLines="0" topLeftCell="A12" zoomScaleNormal="100" workbookViewId="0">
      <selection activeCell="A38" sqref="A38"/>
    </sheetView>
  </sheetViews>
  <sheetFormatPr defaultColWidth="9.109375" defaultRowHeight="14.4" x14ac:dyDescent="0.3"/>
  <cols>
    <col min="1" max="1" width="147.44140625" style="115" bestFit="1" customWidth="1"/>
    <col min="2" max="6" width="9.109375" style="115"/>
    <col min="7" max="7" width="18.33203125" style="115" bestFit="1" customWidth="1"/>
    <col min="8" max="8" width="11.6640625" style="115" bestFit="1" customWidth="1"/>
    <col min="9" max="9" width="15.5546875" style="115" bestFit="1" customWidth="1"/>
    <col min="10" max="16384" width="9.109375" style="115"/>
  </cols>
  <sheetData>
    <row r="1" spans="1:9" ht="15.6" x14ac:dyDescent="0.3">
      <c r="A1" s="382" t="s">
        <v>175</v>
      </c>
      <c r="B1" s="382"/>
      <c r="C1" s="382"/>
      <c r="D1" s="382"/>
      <c r="E1" s="382"/>
      <c r="G1" s="382" t="s">
        <v>233</v>
      </c>
      <c r="H1" s="382"/>
      <c r="I1" s="382"/>
    </row>
    <row r="2" spans="1:9" x14ac:dyDescent="0.3">
      <c r="A2" s="120" t="s">
        <v>176</v>
      </c>
      <c r="B2" s="121"/>
      <c r="C2" s="62"/>
      <c r="D2" s="62"/>
      <c r="E2" s="62"/>
      <c r="G2" s="146" t="s">
        <v>224</v>
      </c>
      <c r="H2" s="146">
        <v>3</v>
      </c>
      <c r="I2" s="146" t="s">
        <v>225</v>
      </c>
    </row>
    <row r="3" spans="1:9" x14ac:dyDescent="0.3">
      <c r="A3" s="62" t="s">
        <v>177</v>
      </c>
      <c r="B3" s="62"/>
      <c r="C3" s="62"/>
      <c r="D3" s="62"/>
      <c r="E3" s="62"/>
      <c r="G3" s="146" t="s">
        <v>223</v>
      </c>
      <c r="H3" s="147">
        <v>10000</v>
      </c>
      <c r="I3" s="146" t="s">
        <v>226</v>
      </c>
    </row>
    <row r="4" spans="1:9" x14ac:dyDescent="0.3">
      <c r="A4" s="62" t="s">
        <v>178</v>
      </c>
      <c r="B4" s="62"/>
      <c r="C4" s="62"/>
      <c r="D4" s="62"/>
      <c r="E4" s="62"/>
      <c r="G4" s="146" t="s">
        <v>227</v>
      </c>
      <c r="H4" s="147">
        <v>90000</v>
      </c>
      <c r="I4" s="146" t="s">
        <v>226</v>
      </c>
    </row>
    <row r="5" spans="1:9" x14ac:dyDescent="0.3">
      <c r="A5" s="62" t="s">
        <v>179</v>
      </c>
      <c r="B5" s="62"/>
      <c r="C5" s="62"/>
      <c r="D5" s="62"/>
      <c r="E5" s="62"/>
      <c r="G5" s="146" t="s">
        <v>228</v>
      </c>
      <c r="H5" s="146">
        <v>15</v>
      </c>
      <c r="I5" s="146" t="s">
        <v>229</v>
      </c>
    </row>
    <row r="6" spans="1:9" x14ac:dyDescent="0.3">
      <c r="A6" s="62" t="s">
        <v>180</v>
      </c>
      <c r="B6" s="62"/>
      <c r="C6" s="62"/>
      <c r="D6" s="62"/>
      <c r="E6" s="62"/>
      <c r="G6" s="146" t="s">
        <v>230</v>
      </c>
      <c r="H6" s="146">
        <v>12</v>
      </c>
      <c r="I6" s="146" t="s">
        <v>229</v>
      </c>
    </row>
    <row r="7" spans="1:9" x14ac:dyDescent="0.3">
      <c r="A7" s="62"/>
      <c r="B7" s="62"/>
      <c r="C7" s="62"/>
      <c r="D7" s="62"/>
      <c r="E7" s="62"/>
      <c r="G7" s="146" t="s">
        <v>231</v>
      </c>
      <c r="H7" s="147">
        <v>10000</v>
      </c>
      <c r="I7" s="146"/>
    </row>
    <row r="8" spans="1:9" x14ac:dyDescent="0.3">
      <c r="A8" s="120" t="s">
        <v>92</v>
      </c>
      <c r="B8" s="62"/>
      <c r="C8" s="62"/>
      <c r="D8" s="62"/>
      <c r="E8" s="62"/>
      <c r="G8" s="146" t="s">
        <v>232</v>
      </c>
      <c r="H8" s="147">
        <v>30000</v>
      </c>
      <c r="I8" s="146"/>
    </row>
    <row r="9" spans="1:9" x14ac:dyDescent="0.3">
      <c r="A9" s="62" t="s">
        <v>186</v>
      </c>
      <c r="B9" s="62"/>
      <c r="C9" s="62"/>
      <c r="D9" s="62"/>
      <c r="E9" s="62"/>
    </row>
    <row r="10" spans="1:9" x14ac:dyDescent="0.3">
      <c r="A10" s="62" t="s">
        <v>187</v>
      </c>
      <c r="B10" s="62"/>
      <c r="C10" s="62"/>
      <c r="D10" s="62"/>
      <c r="E10" s="62"/>
    </row>
    <row r="11" spans="1:9" ht="15.6" x14ac:dyDescent="0.3">
      <c r="A11" s="62"/>
      <c r="B11" s="62"/>
      <c r="C11" s="62"/>
      <c r="D11" s="62"/>
      <c r="E11" s="62"/>
      <c r="G11" s="382" t="s">
        <v>234</v>
      </c>
      <c r="H11" s="382"/>
      <c r="I11" s="382"/>
    </row>
    <row r="12" spans="1:9" x14ac:dyDescent="0.3">
      <c r="A12" s="120" t="s">
        <v>256</v>
      </c>
      <c r="B12" s="62"/>
      <c r="C12" s="62"/>
      <c r="D12" s="62"/>
      <c r="E12" s="62"/>
      <c r="G12" s="9" t="s">
        <v>224</v>
      </c>
      <c r="H12" s="9">
        <v>2</v>
      </c>
      <c r="I12" s="9" t="s">
        <v>237</v>
      </c>
    </row>
    <row r="13" spans="1:9" x14ac:dyDescent="0.3">
      <c r="A13" s="62" t="s">
        <v>181</v>
      </c>
      <c r="B13" s="62"/>
      <c r="C13" s="62"/>
      <c r="D13" s="62"/>
      <c r="E13" s="62"/>
      <c r="G13" s="9" t="s">
        <v>235</v>
      </c>
      <c r="H13" s="9">
        <v>16</v>
      </c>
      <c r="I13" s="9" t="s">
        <v>238</v>
      </c>
    </row>
    <row r="14" spans="1:9" x14ac:dyDescent="0.3">
      <c r="A14" s="405" t="s">
        <v>182</v>
      </c>
      <c r="B14" s="405"/>
      <c r="C14" s="405"/>
      <c r="D14" s="405"/>
      <c r="E14" s="405"/>
      <c r="G14" s="9" t="s">
        <v>236</v>
      </c>
      <c r="H14" s="9">
        <v>150</v>
      </c>
      <c r="I14" s="9" t="s">
        <v>238</v>
      </c>
    </row>
    <row r="15" spans="1:9" x14ac:dyDescent="0.3">
      <c r="A15" s="62"/>
      <c r="B15" s="62"/>
      <c r="C15" s="62"/>
      <c r="D15" s="62"/>
      <c r="E15" s="62"/>
      <c r="G15" s="9" t="s">
        <v>254</v>
      </c>
      <c r="H15" s="9">
        <v>70</v>
      </c>
      <c r="I15" s="9" t="s">
        <v>255</v>
      </c>
    </row>
    <row r="16" spans="1:9" x14ac:dyDescent="0.3">
      <c r="A16" s="120" t="s">
        <v>183</v>
      </c>
      <c r="B16"/>
      <c r="C16"/>
      <c r="D16"/>
      <c r="E16"/>
    </row>
    <row r="17" spans="1:5" x14ac:dyDescent="0.3">
      <c r="A17" s="62" t="s">
        <v>188</v>
      </c>
      <c r="B17"/>
      <c r="C17"/>
      <c r="D17"/>
      <c r="E17"/>
    </row>
    <row r="18" spans="1:5" x14ac:dyDescent="0.3">
      <c r="A18"/>
      <c r="B18"/>
      <c r="C18"/>
      <c r="D18"/>
      <c r="E18"/>
    </row>
    <row r="19" spans="1:5" x14ac:dyDescent="0.3">
      <c r="A19" s="120" t="s">
        <v>184</v>
      </c>
      <c r="B19"/>
      <c r="C19"/>
      <c r="D19"/>
      <c r="E19"/>
    </row>
    <row r="20" spans="1:5" x14ac:dyDescent="0.3">
      <c r="A20" s="62" t="s">
        <v>185</v>
      </c>
      <c r="B20"/>
      <c r="C20"/>
      <c r="D20"/>
      <c r="E20"/>
    </row>
    <row r="21" spans="1:5" x14ac:dyDescent="0.3">
      <c r="A21"/>
      <c r="B21"/>
      <c r="C21"/>
      <c r="D21"/>
      <c r="E21"/>
    </row>
    <row r="22" spans="1:5" x14ac:dyDescent="0.3">
      <c r="A22" s="120" t="s">
        <v>221</v>
      </c>
      <c r="B22"/>
      <c r="C22"/>
      <c r="D22"/>
      <c r="E22"/>
    </row>
    <row r="23" spans="1:5" x14ac:dyDescent="0.3">
      <c r="A23" s="62" t="s">
        <v>219</v>
      </c>
      <c r="B23"/>
      <c r="C23"/>
      <c r="D23"/>
      <c r="E23"/>
    </row>
    <row r="24" spans="1:5" x14ac:dyDescent="0.3">
      <c r="A24" s="62" t="s">
        <v>220</v>
      </c>
      <c r="B24"/>
      <c r="C24"/>
      <c r="D24"/>
      <c r="E24"/>
    </row>
    <row r="25" spans="1:5" x14ac:dyDescent="0.3">
      <c r="A25" s="62" t="s">
        <v>253</v>
      </c>
      <c r="B25"/>
      <c r="C25"/>
      <c r="D25"/>
      <c r="E25"/>
    </row>
    <row r="26" spans="1:5" x14ac:dyDescent="0.3">
      <c r="A26" s="62"/>
      <c r="B26"/>
      <c r="C26"/>
      <c r="D26"/>
      <c r="E26"/>
    </row>
    <row r="27" spans="1:5" x14ac:dyDescent="0.3">
      <c r="A27" s="120" t="s">
        <v>273</v>
      </c>
      <c r="B27"/>
      <c r="C27"/>
      <c r="D27"/>
      <c r="E27"/>
    </row>
    <row r="28" spans="1:5" x14ac:dyDescent="0.3">
      <c r="A28" s="62" t="s">
        <v>222</v>
      </c>
      <c r="B28"/>
      <c r="C28"/>
      <c r="D28"/>
      <c r="E28"/>
    </row>
    <row r="29" spans="1:5" x14ac:dyDescent="0.3">
      <c r="A29" s="62" t="s">
        <v>274</v>
      </c>
      <c r="B29"/>
      <c r="C29"/>
      <c r="D29"/>
      <c r="E29"/>
    </row>
    <row r="30" spans="1:5" x14ac:dyDescent="0.3">
      <c r="A30" s="62" t="s">
        <v>275</v>
      </c>
      <c r="B30"/>
      <c r="C30"/>
      <c r="D30"/>
      <c r="E30"/>
    </row>
    <row r="31" spans="1:5" x14ac:dyDescent="0.3">
      <c r="A31"/>
      <c r="B31"/>
      <c r="C31"/>
      <c r="D31"/>
      <c r="E31"/>
    </row>
    <row r="32" spans="1:5" ht="15.6" x14ac:dyDescent="0.3">
      <c r="A32" s="339" t="s">
        <v>339</v>
      </c>
      <c r="B32" s="9"/>
      <c r="C32" s="9"/>
      <c r="D32" s="9"/>
      <c r="E32" s="9"/>
    </row>
    <row r="33" spans="1:5" x14ac:dyDescent="0.3">
      <c r="A33" s="9" t="s">
        <v>358</v>
      </c>
      <c r="B33" s="9"/>
      <c r="C33" s="9"/>
      <c r="D33" s="9"/>
      <c r="E33" s="9"/>
    </row>
    <row r="34" spans="1:5" x14ac:dyDescent="0.3">
      <c r="A34" s="9" t="s">
        <v>340</v>
      </c>
      <c r="B34" s="9"/>
      <c r="C34" s="9"/>
      <c r="D34" s="9"/>
      <c r="E34" s="9"/>
    </row>
    <row r="35" spans="1:5" x14ac:dyDescent="0.3">
      <c r="A35" s="9" t="s">
        <v>344</v>
      </c>
      <c r="B35" s="9"/>
      <c r="C35" s="9"/>
      <c r="D35" s="9"/>
      <c r="E35" s="9"/>
    </row>
    <row r="36" spans="1:5" x14ac:dyDescent="0.3">
      <c r="A36" s="9" t="s">
        <v>349</v>
      </c>
      <c r="B36" s="9"/>
      <c r="C36" s="9"/>
      <c r="D36" s="9"/>
      <c r="E36" s="9"/>
    </row>
    <row r="37" spans="1:5" x14ac:dyDescent="0.3">
      <c r="A37" s="9" t="s">
        <v>341</v>
      </c>
      <c r="B37" s="9"/>
      <c r="C37" s="9"/>
      <c r="D37" s="9"/>
      <c r="E37" s="9"/>
    </row>
    <row r="38" spans="1:5" x14ac:dyDescent="0.3">
      <c r="A38" s="9"/>
      <c r="B38" s="9"/>
      <c r="C38" s="9"/>
      <c r="D38" s="9"/>
      <c r="E38" s="9"/>
    </row>
    <row r="39" spans="1:5" x14ac:dyDescent="0.3">
      <c r="A39" s="338" t="s">
        <v>342</v>
      </c>
      <c r="B39" s="9"/>
      <c r="C39" s="9"/>
      <c r="D39" s="9"/>
      <c r="E39" s="9"/>
    </row>
    <row r="40" spans="1:5" x14ac:dyDescent="0.3">
      <c r="A40" s="9" t="s">
        <v>343</v>
      </c>
      <c r="B40" s="9"/>
      <c r="C40" s="9"/>
      <c r="D40" s="9"/>
      <c r="E40" s="9"/>
    </row>
    <row r="41" spans="1:5" x14ac:dyDescent="0.3">
      <c r="A41" s="9" t="s">
        <v>345</v>
      </c>
      <c r="B41" s="9"/>
      <c r="C41" s="9"/>
      <c r="D41" s="9"/>
      <c r="E41" s="9"/>
    </row>
    <row r="42" spans="1:5" x14ac:dyDescent="0.3">
      <c r="A42" s="9" t="s">
        <v>346</v>
      </c>
      <c r="B42" s="9"/>
      <c r="C42" s="9"/>
      <c r="D42" s="9"/>
      <c r="E42" s="9"/>
    </row>
    <row r="43" spans="1:5" x14ac:dyDescent="0.3">
      <c r="A43" s="9"/>
      <c r="B43" s="9"/>
      <c r="C43" s="9"/>
      <c r="D43" s="9"/>
      <c r="E43" s="9"/>
    </row>
    <row r="44" spans="1:5" ht="15.6" x14ac:dyDescent="0.3">
      <c r="A44" s="339" t="s">
        <v>357</v>
      </c>
      <c r="B44" s="9"/>
      <c r="C44" s="9"/>
      <c r="D44" s="9"/>
      <c r="E44" s="9"/>
    </row>
    <row r="45" spans="1:5" x14ac:dyDescent="0.3">
      <c r="A45" s="9" t="s">
        <v>359</v>
      </c>
      <c r="B45" s="9"/>
      <c r="C45" s="9"/>
      <c r="D45" s="9"/>
      <c r="E45" s="9"/>
    </row>
    <row r="46" spans="1:5" x14ac:dyDescent="0.3">
      <c r="A46" s="9" t="s">
        <v>360</v>
      </c>
      <c r="B46" s="9"/>
      <c r="C46" s="9"/>
      <c r="D46" s="9"/>
      <c r="E46" s="9"/>
    </row>
    <row r="47" spans="1:5" x14ac:dyDescent="0.3">
      <c r="A47" s="9"/>
      <c r="B47" s="9"/>
      <c r="C47" s="9"/>
      <c r="D47" s="9"/>
      <c r="E47" s="9"/>
    </row>
  </sheetData>
  <mergeCells count="4">
    <mergeCell ref="A1:E1"/>
    <mergeCell ref="A14:E14"/>
    <mergeCell ref="G1:I1"/>
    <mergeCell ref="G11:I11"/>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F26B7-98A9-4E88-8CA4-E0776158FF4E}">
  <dimension ref="A1:D8"/>
  <sheetViews>
    <sheetView showGridLines="0" workbookViewId="0">
      <selection activeCell="A10" sqref="A10"/>
    </sheetView>
  </sheetViews>
  <sheetFormatPr defaultColWidth="9.109375" defaultRowHeight="14.4" x14ac:dyDescent="0.3"/>
  <cols>
    <col min="1" max="1" width="21.88671875" bestFit="1" customWidth="1"/>
    <col min="2" max="2" width="84.88671875" bestFit="1" customWidth="1"/>
    <col min="3" max="3" width="78.44140625" bestFit="1" customWidth="1"/>
    <col min="4" max="4" width="8.88671875" customWidth="1"/>
    <col min="5" max="16384" width="9.109375" style="115"/>
  </cols>
  <sheetData>
    <row r="1" spans="1:4" x14ac:dyDescent="0.3">
      <c r="A1" s="406" t="s">
        <v>132</v>
      </c>
      <c r="B1" s="406"/>
      <c r="C1" s="406"/>
      <c r="D1" s="406"/>
    </row>
    <row r="2" spans="1:4" ht="15" thickBot="1" x14ac:dyDescent="0.35"/>
    <row r="3" spans="1:4" ht="15" thickBot="1" x14ac:dyDescent="0.35">
      <c r="A3" s="209" t="s">
        <v>133</v>
      </c>
      <c r="B3" s="210" t="s">
        <v>134</v>
      </c>
    </row>
    <row r="4" spans="1:4" ht="115.8" thickBot="1" x14ac:dyDescent="0.35">
      <c r="A4" s="214" t="s">
        <v>136</v>
      </c>
      <c r="B4" s="215" t="s">
        <v>135</v>
      </c>
      <c r="C4" s="205"/>
    </row>
    <row r="5" spans="1:4" ht="115.8" thickBot="1" x14ac:dyDescent="0.35">
      <c r="A5" s="211" t="s">
        <v>143</v>
      </c>
      <c r="B5" s="213" t="s">
        <v>144</v>
      </c>
      <c r="C5" s="205"/>
    </row>
    <row r="6" spans="1:4" ht="15" thickBot="1" x14ac:dyDescent="0.35">
      <c r="A6" s="284" t="s">
        <v>215</v>
      </c>
      <c r="B6" s="208" t="s">
        <v>216</v>
      </c>
      <c r="C6" s="206"/>
    </row>
    <row r="7" spans="1:4" ht="15" thickBot="1" x14ac:dyDescent="0.35">
      <c r="A7" s="285" t="s">
        <v>252</v>
      </c>
      <c r="B7" s="212" t="s">
        <v>271</v>
      </c>
      <c r="C7" s="207"/>
    </row>
    <row r="8" spans="1:4" ht="43.8" thickBot="1" x14ac:dyDescent="0.35">
      <c r="A8" s="287" t="s">
        <v>276</v>
      </c>
      <c r="B8" s="213" t="s">
        <v>277</v>
      </c>
    </row>
  </sheetData>
  <mergeCells count="1">
    <mergeCell ref="A1:D1"/>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DA4DB-B687-436F-AE0E-210B9260EF5D}">
  <dimension ref="A1:R53"/>
  <sheetViews>
    <sheetView showGridLines="0" topLeftCell="A3" workbookViewId="0">
      <selection activeCell="E30" sqref="E30"/>
    </sheetView>
  </sheetViews>
  <sheetFormatPr defaultColWidth="9.109375" defaultRowHeight="14.4" x14ac:dyDescent="0.3"/>
  <cols>
    <col min="1" max="2" width="9.109375" style="115"/>
    <col min="3" max="3" width="35.88671875" style="115" customWidth="1"/>
    <col min="4" max="4" width="5.6640625" style="115" bestFit="1" customWidth="1"/>
    <col min="5" max="5" width="15.5546875" style="115" bestFit="1" customWidth="1"/>
    <col min="6" max="8" width="10.5546875" style="115" bestFit="1" customWidth="1"/>
    <col min="9" max="12" width="9.109375" style="115"/>
    <col min="13" max="13" width="67.44140625" style="115" bestFit="1" customWidth="1"/>
    <col min="14" max="14" width="5.6640625" style="115" bestFit="1" customWidth="1"/>
    <col min="15" max="15" width="12.109375" style="115" bestFit="1" customWidth="1"/>
    <col min="16" max="16" width="13.88671875" style="115" bestFit="1" customWidth="1"/>
    <col min="17" max="16384" width="9.109375" style="115"/>
  </cols>
  <sheetData>
    <row r="1" spans="1:18" ht="15" thickBot="1" x14ac:dyDescent="0.35">
      <c r="A1"/>
      <c r="B1"/>
      <c r="C1"/>
      <c r="D1"/>
      <c r="E1"/>
      <c r="F1"/>
      <c r="G1"/>
      <c r="H1"/>
      <c r="I1"/>
      <c r="J1"/>
      <c r="K1"/>
      <c r="L1"/>
      <c r="M1"/>
      <c r="N1"/>
      <c r="O1"/>
      <c r="P1"/>
      <c r="Q1"/>
      <c r="R1"/>
    </row>
    <row r="2" spans="1:18" ht="15" thickBot="1" x14ac:dyDescent="0.35">
      <c r="A2"/>
      <c r="B2" s="192"/>
      <c r="C2" s="153"/>
      <c r="D2" s="153"/>
      <c r="E2" s="153"/>
      <c r="F2" s="153"/>
      <c r="G2" s="153"/>
      <c r="H2" s="153"/>
      <c r="I2" s="153"/>
      <c r="J2" s="154"/>
      <c r="K2"/>
      <c r="L2"/>
      <c r="M2"/>
      <c r="N2"/>
      <c r="O2"/>
      <c r="P2"/>
      <c r="Q2"/>
      <c r="R2"/>
    </row>
    <row r="3" spans="1:18" x14ac:dyDescent="0.3">
      <c r="A3"/>
      <c r="B3" s="193"/>
      <c r="C3" s="216" t="s">
        <v>147</v>
      </c>
      <c r="D3"/>
      <c r="E3"/>
      <c r="F3"/>
      <c r="G3"/>
      <c r="H3"/>
      <c r="I3"/>
      <c r="J3" s="156"/>
      <c r="K3"/>
      <c r="L3" s="192"/>
      <c r="M3" s="153"/>
      <c r="N3" s="153"/>
      <c r="O3" s="153"/>
      <c r="P3" s="153"/>
      <c r="Q3" s="154"/>
      <c r="R3"/>
    </row>
    <row r="4" spans="1:18" x14ac:dyDescent="0.3">
      <c r="A4"/>
      <c r="B4" s="193"/>
      <c r="C4"/>
      <c r="D4"/>
      <c r="E4"/>
      <c r="F4"/>
      <c r="G4"/>
      <c r="H4"/>
      <c r="I4"/>
      <c r="J4" s="156"/>
      <c r="K4"/>
      <c r="L4" s="193"/>
      <c r="M4" s="216" t="s">
        <v>148</v>
      </c>
      <c r="N4"/>
      <c r="O4"/>
      <c r="P4"/>
      <c r="Q4" s="156"/>
      <c r="R4"/>
    </row>
    <row r="5" spans="1:18" x14ac:dyDescent="0.3">
      <c r="A5"/>
      <c r="B5" s="193"/>
      <c r="C5" s="216" t="s">
        <v>149</v>
      </c>
      <c r="D5" s="217"/>
      <c r="E5" s="217"/>
      <c r="F5" s="217"/>
      <c r="G5"/>
      <c r="H5"/>
      <c r="I5"/>
      <c r="J5" s="156"/>
      <c r="K5"/>
      <c r="L5" s="193"/>
      <c r="M5"/>
      <c r="N5"/>
      <c r="O5"/>
      <c r="P5"/>
      <c r="Q5" s="156"/>
      <c r="R5"/>
    </row>
    <row r="6" spans="1:18" x14ac:dyDescent="0.3">
      <c r="A6"/>
      <c r="B6" s="193"/>
      <c r="C6"/>
      <c r="D6"/>
      <c r="E6"/>
      <c r="F6"/>
      <c r="G6"/>
      <c r="H6"/>
      <c r="I6"/>
      <c r="J6" s="156"/>
      <c r="K6"/>
      <c r="L6" s="193"/>
      <c r="M6" t="s">
        <v>150</v>
      </c>
      <c r="N6">
        <v>10</v>
      </c>
      <c r="O6"/>
      <c r="P6"/>
      <c r="Q6" s="156"/>
      <c r="R6"/>
    </row>
    <row r="7" spans="1:18" x14ac:dyDescent="0.3">
      <c r="A7"/>
      <c r="B7" s="193"/>
      <c r="C7" s="7" t="s">
        <v>151</v>
      </c>
      <c r="D7"/>
      <c r="E7"/>
      <c r="F7"/>
      <c r="G7"/>
      <c r="H7"/>
      <c r="I7"/>
      <c r="J7" s="156"/>
      <c r="K7"/>
      <c r="L7" s="193"/>
      <c r="M7" t="s">
        <v>152</v>
      </c>
      <c r="N7">
        <v>1</v>
      </c>
      <c r="O7"/>
      <c r="P7"/>
      <c r="Q7" s="156"/>
      <c r="R7"/>
    </row>
    <row r="8" spans="1:18" x14ac:dyDescent="0.3">
      <c r="A8"/>
      <c r="B8" s="193"/>
      <c r="C8" s="7" t="s">
        <v>153</v>
      </c>
      <c r="D8" s="92" t="s">
        <v>122</v>
      </c>
      <c r="E8" s="196" t="s">
        <v>154</v>
      </c>
      <c r="F8" s="7"/>
      <c r="G8" s="7"/>
      <c r="H8"/>
      <c r="I8"/>
      <c r="J8" s="156"/>
      <c r="K8"/>
      <c r="L8" s="193"/>
      <c r="M8" t="s">
        <v>155</v>
      </c>
      <c r="N8">
        <v>9</v>
      </c>
      <c r="O8"/>
      <c r="P8"/>
      <c r="Q8" s="156"/>
      <c r="R8"/>
    </row>
    <row r="9" spans="1:18" x14ac:dyDescent="0.3">
      <c r="A9"/>
      <c r="B9" s="193"/>
      <c r="C9" t="s">
        <v>156</v>
      </c>
      <c r="D9" s="1">
        <v>1</v>
      </c>
      <c r="E9" s="3">
        <v>290</v>
      </c>
      <c r="F9" s="3"/>
      <c r="G9"/>
      <c r="H9"/>
      <c r="I9"/>
      <c r="J9" s="156"/>
      <c r="K9"/>
      <c r="L9" s="193"/>
      <c r="M9" t="s">
        <v>157</v>
      </c>
      <c r="N9">
        <f>N6*3</f>
        <v>30</v>
      </c>
      <c r="O9"/>
      <c r="P9"/>
      <c r="Q9" s="156"/>
      <c r="R9"/>
    </row>
    <row r="10" spans="1:18" ht="15" thickBot="1" x14ac:dyDescent="0.35">
      <c r="A10"/>
      <c r="B10" s="193"/>
      <c r="C10" t="s">
        <v>158</v>
      </c>
      <c r="D10" s="1">
        <v>1</v>
      </c>
      <c r="E10" s="3">
        <v>190</v>
      </c>
      <c r="F10" s="3"/>
      <c r="G10"/>
      <c r="H10"/>
      <c r="I10"/>
      <c r="J10" s="156"/>
      <c r="K10"/>
      <c r="L10" s="195"/>
      <c r="M10" s="158" t="s">
        <v>159</v>
      </c>
      <c r="N10" s="158">
        <v>10</v>
      </c>
      <c r="O10" s="158"/>
      <c r="P10" s="158"/>
      <c r="Q10" s="159"/>
      <c r="R10"/>
    </row>
    <row r="11" spans="1:18" ht="15" thickBot="1" x14ac:dyDescent="0.35">
      <c r="A11"/>
      <c r="B11" s="193"/>
      <c r="C11" t="s">
        <v>160</v>
      </c>
      <c r="D11" s="1">
        <v>1</v>
      </c>
      <c r="E11" s="3">
        <v>770</v>
      </c>
      <c r="F11" s="2">
        <v>690</v>
      </c>
      <c r="G11" s="2">
        <v>490</v>
      </c>
      <c r="H11" s="2">
        <v>410</v>
      </c>
      <c r="I11"/>
      <c r="J11" s="156"/>
      <c r="K11"/>
      <c r="L11"/>
      <c r="M11"/>
      <c r="N11"/>
      <c r="O11"/>
      <c r="P11"/>
      <c r="Q11"/>
      <c r="R11"/>
    </row>
    <row r="12" spans="1:18" x14ac:dyDescent="0.3">
      <c r="A12"/>
      <c r="B12" s="193"/>
      <c r="C12" t="s">
        <v>161</v>
      </c>
      <c r="D12"/>
      <c r="E12" s="116">
        <v>0.4</v>
      </c>
      <c r="F12" s="116">
        <v>0.3</v>
      </c>
      <c r="G12" s="116">
        <v>0.15</v>
      </c>
      <c r="H12" s="116">
        <v>0.1</v>
      </c>
      <c r="I12"/>
      <c r="J12" s="156"/>
      <c r="K12"/>
      <c r="L12" s="192"/>
      <c r="M12" s="153"/>
      <c r="N12" s="153"/>
      <c r="O12" s="153"/>
      <c r="P12" s="153"/>
      <c r="Q12" s="154"/>
      <c r="R12"/>
    </row>
    <row r="13" spans="1:18" x14ac:dyDescent="0.3">
      <c r="A13"/>
      <c r="B13" s="193"/>
      <c r="C13"/>
      <c r="D13"/>
      <c r="E13"/>
      <c r="F13"/>
      <c r="G13"/>
      <c r="H13"/>
      <c r="I13"/>
      <c r="J13" s="156"/>
      <c r="K13"/>
      <c r="L13" s="193"/>
      <c r="M13" s="199" t="s">
        <v>162</v>
      </c>
      <c r="N13" s="92" t="s">
        <v>122</v>
      </c>
      <c r="O13" s="92" t="s">
        <v>163</v>
      </c>
      <c r="P13" s="92" t="s">
        <v>124</v>
      </c>
      <c r="Q13" s="156"/>
      <c r="R13"/>
    </row>
    <row r="14" spans="1:18" x14ac:dyDescent="0.3">
      <c r="A14"/>
      <c r="B14" s="193"/>
      <c r="C14" s="7" t="s">
        <v>164</v>
      </c>
      <c r="D14"/>
      <c r="E14"/>
      <c r="F14"/>
      <c r="G14"/>
      <c r="H14"/>
      <c r="I14"/>
      <c r="J14" s="156"/>
      <c r="K14"/>
      <c r="L14" s="193"/>
      <c r="M14" t="s">
        <v>156</v>
      </c>
      <c r="N14" s="1">
        <v>1</v>
      </c>
      <c r="O14" s="194">
        <v>290</v>
      </c>
      <c r="P14" s="194">
        <f>N14*O14</f>
        <v>290</v>
      </c>
      <c r="Q14" s="156"/>
      <c r="R14"/>
    </row>
    <row r="15" spans="1:18" x14ac:dyDescent="0.3">
      <c r="A15"/>
      <c r="B15" s="193"/>
      <c r="C15" t="s">
        <v>165</v>
      </c>
      <c r="D15" s="1">
        <v>1</v>
      </c>
      <c r="E15" s="194">
        <v>190</v>
      </c>
      <c r="F15" s="194"/>
      <c r="G15" s="194"/>
      <c r="H15" s="194"/>
      <c r="I15"/>
      <c r="J15" s="156"/>
      <c r="K15"/>
      <c r="L15" s="193"/>
      <c r="M15" t="s">
        <v>158</v>
      </c>
      <c r="N15" s="1">
        <v>9</v>
      </c>
      <c r="O15" s="194">
        <v>190</v>
      </c>
      <c r="P15" s="194">
        <f t="shared" ref="P15:P16" si="0">N15*O15</f>
        <v>1710</v>
      </c>
      <c r="Q15" s="156"/>
      <c r="R15"/>
    </row>
    <row r="16" spans="1:18" x14ac:dyDescent="0.3">
      <c r="A16"/>
      <c r="B16" s="193"/>
      <c r="C16" t="s">
        <v>160</v>
      </c>
      <c r="D16" s="1">
        <v>1</v>
      </c>
      <c r="E16" s="194">
        <v>280</v>
      </c>
      <c r="F16" s="194">
        <v>225</v>
      </c>
      <c r="G16" s="194">
        <v>200</v>
      </c>
      <c r="H16" s="194">
        <v>175</v>
      </c>
      <c r="I16"/>
      <c r="J16" s="156"/>
      <c r="K16"/>
      <c r="L16" s="193"/>
      <c r="M16" t="s">
        <v>160</v>
      </c>
      <c r="N16" s="1">
        <v>30</v>
      </c>
      <c r="O16" s="194">
        <v>770</v>
      </c>
      <c r="P16" s="194">
        <f t="shared" si="0"/>
        <v>23100</v>
      </c>
      <c r="Q16" s="156"/>
      <c r="R16"/>
    </row>
    <row r="17" spans="1:18" x14ac:dyDescent="0.3">
      <c r="A17"/>
      <c r="B17" s="193"/>
      <c r="C17" t="s">
        <v>161</v>
      </c>
      <c r="D17"/>
      <c r="E17" s="116">
        <v>0.4</v>
      </c>
      <c r="F17" s="116">
        <v>0.3</v>
      </c>
      <c r="G17" s="116">
        <v>0.15</v>
      </c>
      <c r="H17" s="116">
        <v>0.1</v>
      </c>
      <c r="I17"/>
      <c r="J17" s="156"/>
      <c r="K17"/>
      <c r="L17" s="193"/>
      <c r="M17"/>
      <c r="N17"/>
      <c r="O17"/>
      <c r="P17" s="200">
        <f>SUM(P14:P16)</f>
        <v>25100</v>
      </c>
      <c r="Q17" s="156"/>
      <c r="R17"/>
    </row>
    <row r="18" spans="1:18" ht="15" thickBot="1" x14ac:dyDescent="0.35">
      <c r="A18"/>
      <c r="B18" s="195"/>
      <c r="C18" s="158"/>
      <c r="D18" s="158"/>
      <c r="E18" s="158"/>
      <c r="F18" s="158"/>
      <c r="G18" s="158"/>
      <c r="H18" s="158"/>
      <c r="I18" s="158"/>
      <c r="J18" s="159"/>
      <c r="K18"/>
      <c r="L18" s="193"/>
      <c r="M18"/>
      <c r="N18"/>
      <c r="O18"/>
      <c r="P18"/>
      <c r="Q18" s="156"/>
      <c r="R18"/>
    </row>
    <row r="19" spans="1:18" x14ac:dyDescent="0.3">
      <c r="A19"/>
      <c r="B19"/>
      <c r="C19"/>
      <c r="D19"/>
      <c r="E19"/>
      <c r="F19"/>
      <c r="G19"/>
      <c r="H19"/>
      <c r="I19"/>
      <c r="J19"/>
      <c r="K19"/>
      <c r="L19" s="193"/>
      <c r="M19" s="196" t="s">
        <v>26</v>
      </c>
      <c r="N19" s="92" t="s">
        <v>122</v>
      </c>
      <c r="O19" s="92" t="s">
        <v>163</v>
      </c>
      <c r="P19" s="92" t="s">
        <v>124</v>
      </c>
      <c r="Q19" s="156"/>
      <c r="R19"/>
    </row>
    <row r="20" spans="1:18" ht="15" thickBot="1" x14ac:dyDescent="0.35">
      <c r="A20"/>
      <c r="B20"/>
      <c r="C20"/>
      <c r="D20"/>
      <c r="E20"/>
      <c r="F20"/>
      <c r="G20"/>
      <c r="H20"/>
      <c r="I20"/>
      <c r="J20"/>
      <c r="K20"/>
      <c r="L20" s="193"/>
      <c r="M20" t="s">
        <v>165</v>
      </c>
      <c r="N20" s="1">
        <v>10</v>
      </c>
      <c r="O20" s="3">
        <v>190</v>
      </c>
      <c r="P20" s="3">
        <f>N20*O20</f>
        <v>1900</v>
      </c>
      <c r="Q20" s="156"/>
      <c r="R20"/>
    </row>
    <row r="21" spans="1:18" x14ac:dyDescent="0.3">
      <c r="A21"/>
      <c r="B21" s="192"/>
      <c r="C21" s="153"/>
      <c r="D21" s="153"/>
      <c r="E21" s="153"/>
      <c r="F21" s="153"/>
      <c r="G21" s="153"/>
      <c r="H21" s="153"/>
      <c r="I21" s="153"/>
      <c r="J21" s="154"/>
      <c r="K21"/>
      <c r="L21" s="193"/>
      <c r="M21" t="s">
        <v>160</v>
      </c>
      <c r="N21" s="1">
        <v>30</v>
      </c>
      <c r="O21" s="3">
        <v>280</v>
      </c>
      <c r="P21" s="3">
        <f>N21*O21</f>
        <v>8400</v>
      </c>
      <c r="Q21" s="156"/>
      <c r="R21"/>
    </row>
    <row r="22" spans="1:18" x14ac:dyDescent="0.3">
      <c r="A22"/>
      <c r="B22" s="193"/>
      <c r="C22" s="216" t="s">
        <v>147</v>
      </c>
      <c r="D22"/>
      <c r="E22"/>
      <c r="F22"/>
      <c r="G22"/>
      <c r="H22"/>
      <c r="I22"/>
      <c r="J22" s="156"/>
      <c r="K22"/>
      <c r="L22" s="193"/>
      <c r="M22"/>
      <c r="N22"/>
      <c r="O22"/>
      <c r="P22" s="8">
        <f>SUM(P20:P21)</f>
        <v>10300</v>
      </c>
      <c r="Q22" s="156"/>
      <c r="R22"/>
    </row>
    <row r="23" spans="1:18" x14ac:dyDescent="0.3">
      <c r="A23"/>
      <c r="B23" s="193"/>
      <c r="C23"/>
      <c r="D23"/>
      <c r="E23"/>
      <c r="F23"/>
      <c r="G23"/>
      <c r="H23"/>
      <c r="I23"/>
      <c r="J23" s="156"/>
      <c r="K23"/>
      <c r="L23" s="193"/>
      <c r="M23"/>
      <c r="N23"/>
      <c r="O23"/>
      <c r="P23"/>
      <c r="Q23" s="156"/>
      <c r="R23"/>
    </row>
    <row r="24" spans="1:18" x14ac:dyDescent="0.3">
      <c r="A24"/>
      <c r="B24" s="193"/>
      <c r="C24" s="216" t="s">
        <v>166</v>
      </c>
      <c r="D24"/>
      <c r="E24"/>
      <c r="F24"/>
      <c r="G24"/>
      <c r="H24"/>
      <c r="I24"/>
      <c r="J24" s="156"/>
      <c r="K24"/>
      <c r="L24" s="193"/>
      <c r="M24"/>
      <c r="N24"/>
      <c r="O24"/>
      <c r="P24"/>
      <c r="Q24" s="156"/>
      <c r="R24"/>
    </row>
    <row r="25" spans="1:18" x14ac:dyDescent="0.3">
      <c r="A25"/>
      <c r="B25" s="193"/>
      <c r="C25"/>
      <c r="D25"/>
      <c r="E25"/>
      <c r="F25"/>
      <c r="G25"/>
      <c r="H25"/>
      <c r="I25"/>
      <c r="J25" s="156"/>
      <c r="K25"/>
      <c r="L25" s="193"/>
      <c r="M25"/>
      <c r="N25"/>
      <c r="O25"/>
      <c r="P25"/>
      <c r="Q25" s="156"/>
      <c r="R25"/>
    </row>
    <row r="26" spans="1:18" x14ac:dyDescent="0.3">
      <c r="A26"/>
      <c r="B26" s="193"/>
      <c r="C26" s="7" t="s">
        <v>151</v>
      </c>
      <c r="D26"/>
      <c r="E26"/>
      <c r="F26"/>
      <c r="G26"/>
      <c r="H26"/>
      <c r="I26"/>
      <c r="J26" s="156"/>
      <c r="K26"/>
      <c r="L26" s="193"/>
      <c r="M26"/>
      <c r="N26"/>
      <c r="O26"/>
      <c r="P26"/>
      <c r="Q26" s="156"/>
      <c r="R26"/>
    </row>
    <row r="27" spans="1:18" x14ac:dyDescent="0.3">
      <c r="A27"/>
      <c r="B27" s="193"/>
      <c r="C27" s="7" t="s">
        <v>153</v>
      </c>
      <c r="D27" s="92" t="s">
        <v>122</v>
      </c>
      <c r="E27" s="196" t="s">
        <v>154</v>
      </c>
      <c r="F27" s="7"/>
      <c r="G27" s="7"/>
      <c r="H27"/>
      <c r="I27"/>
      <c r="J27" s="156"/>
      <c r="K27"/>
      <c r="L27" s="193"/>
      <c r="M27" s="7" t="s">
        <v>167</v>
      </c>
      <c r="N27" s="92" t="s">
        <v>122</v>
      </c>
      <c r="O27" s="92" t="s">
        <v>163</v>
      </c>
      <c r="P27" s="92" t="s">
        <v>124</v>
      </c>
      <c r="Q27" s="156"/>
      <c r="R27"/>
    </row>
    <row r="28" spans="1:18" x14ac:dyDescent="0.3">
      <c r="A28"/>
      <c r="B28" s="193"/>
      <c r="C28" t="s">
        <v>156</v>
      </c>
      <c r="D28" s="1">
        <v>1</v>
      </c>
      <c r="E28" s="3">
        <v>900</v>
      </c>
      <c r="F28" s="3"/>
      <c r="G28"/>
      <c r="H28"/>
      <c r="I28"/>
      <c r="J28" s="156"/>
      <c r="K28"/>
      <c r="L28" s="193"/>
      <c r="M28" t="s">
        <v>168</v>
      </c>
      <c r="N28" s="1">
        <f>7*10</f>
        <v>70</v>
      </c>
      <c r="O28" s="194">
        <v>180</v>
      </c>
      <c r="P28" s="194">
        <f>N28*O28</f>
        <v>12600</v>
      </c>
      <c r="Q28" s="156"/>
      <c r="R28"/>
    </row>
    <row r="29" spans="1:18" x14ac:dyDescent="0.3">
      <c r="A29"/>
      <c r="B29" s="193"/>
      <c r="C29" t="s">
        <v>158</v>
      </c>
      <c r="D29" s="1">
        <v>1</v>
      </c>
      <c r="E29" s="3">
        <v>450</v>
      </c>
      <c r="F29" s="3"/>
      <c r="G29"/>
      <c r="H29"/>
      <c r="I29" s="2"/>
      <c r="J29" s="156"/>
      <c r="K29"/>
      <c r="L29" s="193"/>
      <c r="M29" t="s">
        <v>26</v>
      </c>
      <c r="N29" s="1">
        <v>6</v>
      </c>
      <c r="O29">
        <v>275.62</v>
      </c>
      <c r="P29" s="194">
        <f>N29*O29</f>
        <v>1653.72</v>
      </c>
      <c r="Q29" s="156"/>
      <c r="R29"/>
    </row>
    <row r="30" spans="1:18" ht="15" thickBot="1" x14ac:dyDescent="0.35">
      <c r="A30"/>
      <c r="B30" s="193"/>
      <c r="C30" t="s">
        <v>160</v>
      </c>
      <c r="D30" s="1">
        <v>1</v>
      </c>
      <c r="E30" s="3">
        <v>770</v>
      </c>
      <c r="F30" s="3">
        <v>690</v>
      </c>
      <c r="G30" s="2">
        <v>490</v>
      </c>
      <c r="H30" s="2">
        <v>410</v>
      </c>
      <c r="I30" s="116"/>
      <c r="J30" s="156"/>
      <c r="K30"/>
      <c r="L30" s="195"/>
      <c r="M30" s="158"/>
      <c r="N30" s="158"/>
      <c r="O30" s="158"/>
      <c r="P30" s="158"/>
      <c r="Q30" s="159"/>
      <c r="R30"/>
    </row>
    <row r="31" spans="1:18" ht="15" thickBot="1" x14ac:dyDescent="0.35">
      <c r="A31"/>
      <c r="B31" s="193"/>
      <c r="C31" t="s">
        <v>169</v>
      </c>
      <c r="D31"/>
      <c r="E31" s="116">
        <v>0.4</v>
      </c>
      <c r="F31" s="116">
        <v>0.3</v>
      </c>
      <c r="G31" s="116">
        <v>0.15</v>
      </c>
      <c r="H31" s="116">
        <v>0.1</v>
      </c>
      <c r="I31"/>
      <c r="J31" s="156"/>
      <c r="K31"/>
      <c r="L31"/>
      <c r="M31"/>
      <c r="N31"/>
      <c r="O31"/>
      <c r="P31"/>
      <c r="Q31"/>
      <c r="R31"/>
    </row>
    <row r="32" spans="1:18" x14ac:dyDescent="0.3">
      <c r="A32"/>
      <c r="B32" s="193"/>
      <c r="C32"/>
      <c r="D32"/>
      <c r="E32"/>
      <c r="F32"/>
      <c r="G32"/>
      <c r="H32"/>
      <c r="I32"/>
      <c r="J32" s="156"/>
      <c r="K32"/>
      <c r="L32" s="192"/>
      <c r="M32" s="153"/>
      <c r="N32" s="153"/>
      <c r="O32" s="153"/>
      <c r="P32" s="153"/>
      <c r="Q32" s="154"/>
      <c r="R32"/>
    </row>
    <row r="33" spans="1:18" x14ac:dyDescent="0.3">
      <c r="A33"/>
      <c r="B33" s="193"/>
      <c r="C33" s="7" t="s">
        <v>164</v>
      </c>
      <c r="D33"/>
      <c r="E33"/>
      <c r="F33"/>
      <c r="G33"/>
      <c r="H33"/>
      <c r="I33"/>
      <c r="J33" s="156"/>
      <c r="K33"/>
      <c r="L33" s="193"/>
      <c r="M33" s="7" t="s">
        <v>170</v>
      </c>
      <c r="N33"/>
      <c r="O33"/>
      <c r="P33"/>
      <c r="Q33" s="156"/>
      <c r="R33"/>
    </row>
    <row r="34" spans="1:18" x14ac:dyDescent="0.3">
      <c r="A34"/>
      <c r="B34" s="193"/>
      <c r="C34" t="s">
        <v>171</v>
      </c>
      <c r="D34" s="1">
        <v>1</v>
      </c>
      <c r="E34" s="194">
        <v>190</v>
      </c>
      <c r="F34" s="194"/>
      <c r="G34" s="194"/>
      <c r="H34" s="194"/>
      <c r="I34"/>
      <c r="J34" s="156"/>
      <c r="K34"/>
      <c r="L34" s="193"/>
      <c r="M34"/>
      <c r="N34"/>
      <c r="O34"/>
      <c r="P34"/>
      <c r="Q34" s="156"/>
      <c r="R34"/>
    </row>
    <row r="35" spans="1:18" x14ac:dyDescent="0.3">
      <c r="A35"/>
      <c r="B35" s="193"/>
      <c r="C35" t="s">
        <v>160</v>
      </c>
      <c r="D35" s="1">
        <v>1</v>
      </c>
      <c r="E35" s="194">
        <v>280</v>
      </c>
      <c r="F35" s="194">
        <v>225</v>
      </c>
      <c r="G35" s="194">
        <v>200</v>
      </c>
      <c r="H35" s="194">
        <v>175</v>
      </c>
      <c r="I35"/>
      <c r="J35" s="156"/>
      <c r="K35"/>
      <c r="L35" s="193"/>
      <c r="M35" s="201" t="s">
        <v>162</v>
      </c>
      <c r="N35" s="92" t="s">
        <v>122</v>
      </c>
      <c r="O35" s="92" t="s">
        <v>163</v>
      </c>
      <c r="P35" s="92" t="s">
        <v>124</v>
      </c>
      <c r="Q35" s="156"/>
      <c r="R35"/>
    </row>
    <row r="36" spans="1:18" x14ac:dyDescent="0.3">
      <c r="A36"/>
      <c r="B36" s="193"/>
      <c r="C36" t="s">
        <v>169</v>
      </c>
      <c r="D36"/>
      <c r="E36" s="116">
        <v>0.4</v>
      </c>
      <c r="F36" s="116">
        <v>0.3</v>
      </c>
      <c r="G36" s="116">
        <v>0.15</v>
      </c>
      <c r="H36" s="116">
        <v>0.1</v>
      </c>
      <c r="I36"/>
      <c r="J36" s="156"/>
      <c r="K36"/>
      <c r="L36" s="193"/>
      <c r="M36" s="117" t="s">
        <v>172</v>
      </c>
      <c r="N36" s="118">
        <v>6</v>
      </c>
      <c r="O36" s="119">
        <v>1400</v>
      </c>
      <c r="P36" s="119" t="s">
        <v>34</v>
      </c>
      <c r="Q36" s="202"/>
      <c r="R36"/>
    </row>
    <row r="37" spans="1:18" x14ac:dyDescent="0.3">
      <c r="A37"/>
      <c r="B37" s="193"/>
      <c r="C37"/>
      <c r="D37"/>
      <c r="E37"/>
      <c r="F37"/>
      <c r="G37"/>
      <c r="H37"/>
      <c r="I37"/>
      <c r="J37" s="156"/>
      <c r="K37"/>
      <c r="L37" s="193"/>
      <c r="M37" t="s">
        <v>156</v>
      </c>
      <c r="N37" s="203">
        <v>1</v>
      </c>
      <c r="O37" s="194">
        <v>290</v>
      </c>
      <c r="P37" s="194">
        <f>N37*O37</f>
        <v>290</v>
      </c>
      <c r="Q37" s="202"/>
      <c r="R37"/>
    </row>
    <row r="38" spans="1:18" ht="15" thickBot="1" x14ac:dyDescent="0.35">
      <c r="A38"/>
      <c r="B38" s="197" t="s">
        <v>257</v>
      </c>
      <c r="C38" s="198" t="s">
        <v>258</v>
      </c>
      <c r="D38" s="158"/>
      <c r="E38" s="158"/>
      <c r="F38" s="158"/>
      <c r="G38" s="158"/>
      <c r="H38" s="158"/>
      <c r="I38" s="158"/>
      <c r="J38" s="159"/>
      <c r="K38"/>
      <c r="L38" s="193"/>
      <c r="M38" t="s">
        <v>158</v>
      </c>
      <c r="N38" s="203">
        <v>9</v>
      </c>
      <c r="O38" s="194">
        <v>190</v>
      </c>
      <c r="P38" s="194">
        <f t="shared" ref="P38:P39" si="1">N38*O38</f>
        <v>1710</v>
      </c>
      <c r="Q38" s="202"/>
      <c r="R38"/>
    </row>
    <row r="39" spans="1:18" x14ac:dyDescent="0.3">
      <c r="A39"/>
      <c r="B39"/>
      <c r="C39"/>
      <c r="D39"/>
      <c r="E39"/>
      <c r="F39"/>
      <c r="G39"/>
      <c r="H39"/>
      <c r="I39"/>
      <c r="J39"/>
      <c r="K39"/>
      <c r="L39" s="193"/>
      <c r="M39" t="s">
        <v>160</v>
      </c>
      <c r="N39" s="203">
        <v>30</v>
      </c>
      <c r="O39" s="194">
        <v>770</v>
      </c>
      <c r="P39" s="194">
        <f t="shared" si="1"/>
        <v>23100</v>
      </c>
      <c r="Q39" s="202"/>
      <c r="R39"/>
    </row>
    <row r="40" spans="1:18" x14ac:dyDescent="0.3">
      <c r="A40"/>
      <c r="B40"/>
      <c r="C40"/>
      <c r="D40"/>
      <c r="E40"/>
      <c r="F40"/>
      <c r="G40"/>
      <c r="H40"/>
      <c r="I40"/>
      <c r="J40"/>
      <c r="K40"/>
      <c r="L40" s="193"/>
      <c r="M40"/>
      <c r="N40" s="204"/>
      <c r="O40" s="194"/>
      <c r="P40" s="200">
        <f>P37+P38+P39</f>
        <v>25100</v>
      </c>
      <c r="Q40" s="202"/>
      <c r="R40"/>
    </row>
    <row r="41" spans="1:18" x14ac:dyDescent="0.3">
      <c r="A41"/>
      <c r="B41"/>
      <c r="C41"/>
      <c r="D41"/>
      <c r="E41" s="9"/>
      <c r="F41"/>
      <c r="G41"/>
      <c r="H41"/>
      <c r="I41"/>
      <c r="J41"/>
      <c r="K41"/>
      <c r="L41" s="193"/>
      <c r="M41"/>
      <c r="N41"/>
      <c r="O41"/>
      <c r="P41"/>
      <c r="Q41" s="156"/>
      <c r="R41"/>
    </row>
    <row r="42" spans="1:18" x14ac:dyDescent="0.3">
      <c r="A42"/>
      <c r="B42"/>
      <c r="C42"/>
      <c r="D42"/>
      <c r="E42"/>
      <c r="F42"/>
      <c r="G42"/>
      <c r="H42"/>
      <c r="I42"/>
      <c r="J42"/>
      <c r="K42"/>
      <c r="L42" s="193"/>
      <c r="M42" s="7" t="s">
        <v>168</v>
      </c>
      <c r="N42" s="92" t="s">
        <v>122</v>
      </c>
      <c r="O42" s="92" t="s">
        <v>163</v>
      </c>
      <c r="P42" s="92" t="s">
        <v>124</v>
      </c>
      <c r="Q42" s="202"/>
      <c r="R42"/>
    </row>
    <row r="43" spans="1:18" x14ac:dyDescent="0.3">
      <c r="A43"/>
      <c r="B43"/>
      <c r="C43"/>
      <c r="D43"/>
      <c r="E43"/>
      <c r="F43"/>
      <c r="G43"/>
      <c r="H43"/>
      <c r="I43"/>
      <c r="J43"/>
      <c r="K43"/>
      <c r="L43" s="193"/>
      <c r="M43" t="s">
        <v>172</v>
      </c>
      <c r="N43" s="204">
        <v>70</v>
      </c>
      <c r="O43" s="194">
        <v>180</v>
      </c>
      <c r="P43" s="194">
        <f>N43*O43</f>
        <v>12600</v>
      </c>
      <c r="Q43" s="202"/>
      <c r="R43"/>
    </row>
    <row r="44" spans="1:18" x14ac:dyDescent="0.3">
      <c r="A44"/>
      <c r="B44"/>
      <c r="C44"/>
      <c r="D44"/>
      <c r="E44"/>
      <c r="F44"/>
      <c r="G44"/>
      <c r="H44"/>
      <c r="I44"/>
      <c r="J44"/>
      <c r="K44"/>
      <c r="L44" s="193"/>
      <c r="M44"/>
      <c r="N44" s="204"/>
      <c r="O44" s="194"/>
      <c r="P44" s="200">
        <f>P43</f>
        <v>12600</v>
      </c>
      <c r="Q44" s="202"/>
      <c r="R44"/>
    </row>
    <row r="45" spans="1:18" x14ac:dyDescent="0.3">
      <c r="A45"/>
      <c r="B45"/>
      <c r="C45"/>
      <c r="D45"/>
      <c r="E45"/>
      <c r="F45"/>
      <c r="G45"/>
      <c r="H45"/>
      <c r="I45"/>
      <c r="J45"/>
      <c r="K45"/>
      <c r="L45" s="193"/>
      <c r="M45"/>
      <c r="N45" s="204"/>
      <c r="O45" s="194"/>
      <c r="P45" s="194"/>
      <c r="Q45" s="202"/>
      <c r="R45"/>
    </row>
    <row r="46" spans="1:18" x14ac:dyDescent="0.3">
      <c r="A46"/>
      <c r="B46"/>
      <c r="C46"/>
      <c r="D46"/>
      <c r="E46"/>
      <c r="F46"/>
      <c r="G46"/>
      <c r="H46"/>
      <c r="I46"/>
      <c r="J46"/>
      <c r="K46"/>
      <c r="L46" s="193"/>
      <c r="M46" s="7" t="s">
        <v>26</v>
      </c>
      <c r="N46" s="92" t="s">
        <v>122</v>
      </c>
      <c r="O46" s="92" t="s">
        <v>163</v>
      </c>
      <c r="P46" s="92" t="s">
        <v>124</v>
      </c>
      <c r="Q46" s="202"/>
      <c r="R46"/>
    </row>
    <row r="47" spans="1:18" x14ac:dyDescent="0.3">
      <c r="A47"/>
      <c r="B47"/>
      <c r="C47"/>
      <c r="D47"/>
      <c r="E47"/>
      <c r="F47"/>
      <c r="G47"/>
      <c r="H47"/>
      <c r="I47"/>
      <c r="J47"/>
      <c r="K47"/>
      <c r="L47" s="193"/>
      <c r="M47" t="s">
        <v>172</v>
      </c>
      <c r="N47" s="1">
        <v>6</v>
      </c>
      <c r="O47" s="4">
        <v>275.62</v>
      </c>
      <c r="P47" s="4">
        <f>N47*O47</f>
        <v>1653.72</v>
      </c>
      <c r="Q47" s="156"/>
      <c r="R47"/>
    </row>
    <row r="48" spans="1:18" x14ac:dyDescent="0.3">
      <c r="A48"/>
      <c r="B48"/>
      <c r="C48"/>
      <c r="D48"/>
      <c r="E48"/>
      <c r="F48"/>
      <c r="G48"/>
      <c r="H48"/>
      <c r="I48"/>
      <c r="J48"/>
      <c r="K48"/>
      <c r="L48" s="193"/>
      <c r="M48" t="s">
        <v>165</v>
      </c>
      <c r="N48" s="1">
        <v>10</v>
      </c>
      <c r="O48" s="4">
        <v>190</v>
      </c>
      <c r="P48" s="4">
        <f>N48*O48</f>
        <v>1900</v>
      </c>
      <c r="Q48" s="156"/>
      <c r="R48"/>
    </row>
    <row r="49" spans="1:18" x14ac:dyDescent="0.3">
      <c r="A49"/>
      <c r="B49"/>
      <c r="C49"/>
      <c r="D49"/>
      <c r="E49"/>
      <c r="F49"/>
      <c r="G49"/>
      <c r="H49"/>
      <c r="I49"/>
      <c r="J49"/>
      <c r="K49"/>
      <c r="L49" s="193"/>
      <c r="M49" t="s">
        <v>160</v>
      </c>
      <c r="N49" s="1">
        <v>30</v>
      </c>
      <c r="O49" s="4">
        <v>280</v>
      </c>
      <c r="P49" s="4">
        <f>N49*O49</f>
        <v>8400</v>
      </c>
      <c r="Q49" s="156"/>
      <c r="R49"/>
    </row>
    <row r="50" spans="1:18" x14ac:dyDescent="0.3">
      <c r="A50"/>
      <c r="B50"/>
      <c r="C50"/>
      <c r="D50"/>
      <c r="E50"/>
      <c r="F50"/>
      <c r="G50"/>
      <c r="H50"/>
      <c r="I50"/>
      <c r="J50"/>
      <c r="K50"/>
      <c r="L50" s="193"/>
      <c r="M50"/>
      <c r="N50"/>
      <c r="O50"/>
      <c r="P50" s="93">
        <f>SUM(P47:P49)</f>
        <v>11953.720000000001</v>
      </c>
      <c r="Q50" s="156"/>
      <c r="R50"/>
    </row>
    <row r="51" spans="1:18" ht="15" thickBot="1" x14ac:dyDescent="0.35">
      <c r="A51"/>
      <c r="B51"/>
      <c r="C51"/>
      <c r="D51"/>
      <c r="E51"/>
      <c r="F51"/>
      <c r="G51"/>
      <c r="H51"/>
      <c r="I51"/>
      <c r="J51"/>
      <c r="K51"/>
      <c r="L51" s="195"/>
      <c r="M51" s="158"/>
      <c r="N51" s="158"/>
      <c r="O51" s="158"/>
      <c r="P51" s="158"/>
      <c r="Q51" s="159"/>
      <c r="R51"/>
    </row>
    <row r="52" spans="1:18" x14ac:dyDescent="0.3">
      <c r="A52"/>
      <c r="B52"/>
      <c r="C52"/>
      <c r="D52"/>
      <c r="E52"/>
      <c r="F52"/>
      <c r="G52"/>
      <c r="H52"/>
      <c r="I52"/>
      <c r="J52"/>
      <c r="K52"/>
      <c r="L52"/>
      <c r="M52"/>
      <c r="N52"/>
      <c r="O52"/>
      <c r="P52"/>
      <c r="Q52"/>
      <c r="R52"/>
    </row>
    <row r="53" spans="1:18" x14ac:dyDescent="0.3">
      <c r="A53"/>
      <c r="B53"/>
      <c r="C53"/>
      <c r="D53"/>
      <c r="E53"/>
      <c r="F53"/>
      <c r="G53"/>
      <c r="H53"/>
      <c r="I53"/>
      <c r="J53"/>
      <c r="K53"/>
      <c r="L53"/>
      <c r="M53"/>
      <c r="N53"/>
      <c r="O53"/>
      <c r="P53"/>
      <c r="Q53"/>
      <c r="R53"/>
    </row>
  </sheetData>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2F203-D222-4E91-AB9E-BBDD0664BA30}">
  <dimension ref="A1:V39"/>
  <sheetViews>
    <sheetView workbookViewId="0">
      <selection activeCell="L25" sqref="L25"/>
    </sheetView>
  </sheetViews>
  <sheetFormatPr defaultColWidth="9.109375" defaultRowHeight="14.4" x14ac:dyDescent="0.3"/>
  <cols>
    <col min="1" max="1" width="1.6640625" style="115" customWidth="1"/>
    <col min="2" max="4" width="9.109375" style="115"/>
    <col min="5" max="5" width="9.88671875" style="115" customWidth="1"/>
    <col min="6" max="6" width="9.109375" style="115"/>
    <col min="7" max="7" width="10.5546875" style="115" customWidth="1"/>
    <col min="8" max="8" width="13.6640625" style="115" customWidth="1"/>
    <col min="9" max="9" width="13.44140625" style="115" bestFit="1" customWidth="1"/>
    <col min="10" max="10" width="13.5546875" style="115" bestFit="1" customWidth="1"/>
    <col min="11" max="11" width="8.6640625" style="115" customWidth="1"/>
    <col min="12" max="12" width="11.5546875" style="115" customWidth="1"/>
    <col min="13" max="13" width="13.5546875" style="115" bestFit="1" customWidth="1"/>
    <col min="14" max="14" width="13.6640625" style="115" customWidth="1"/>
    <col min="15" max="15" width="10.5546875" style="115" bestFit="1" customWidth="1"/>
    <col min="16" max="16" width="8" style="115" customWidth="1"/>
    <col min="17" max="17" width="7.5546875" style="115" customWidth="1"/>
    <col min="18" max="18" width="14.109375" style="115" bestFit="1" customWidth="1"/>
    <col min="19" max="16384" width="9.109375" style="115"/>
  </cols>
  <sheetData>
    <row r="1" spans="1:22" ht="15" thickBot="1" x14ac:dyDescent="0.35">
      <c r="A1" s="9"/>
      <c r="B1" s="9"/>
      <c r="C1" s="9"/>
      <c r="D1" s="9"/>
      <c r="E1" s="9"/>
      <c r="F1" s="9"/>
      <c r="G1" s="9"/>
      <c r="H1" s="9"/>
      <c r="I1" s="9"/>
      <c r="J1" s="9"/>
      <c r="K1" s="9"/>
      <c r="L1" s="9"/>
      <c r="M1" s="9"/>
      <c r="N1" s="9"/>
      <c r="O1" s="9"/>
      <c r="P1" s="9"/>
      <c r="Q1" s="9"/>
      <c r="R1" s="9"/>
      <c r="S1" s="9"/>
      <c r="T1" s="9"/>
      <c r="U1" s="9"/>
      <c r="V1" s="9"/>
    </row>
    <row r="2" spans="1:22" x14ac:dyDescent="0.3">
      <c r="A2" s="9"/>
      <c r="B2" s="10" t="s">
        <v>44</v>
      </c>
      <c r="C2" s="11" t="s">
        <v>45</v>
      </c>
      <c r="D2" s="12">
        <v>128</v>
      </c>
      <c r="E2" s="12" t="s">
        <v>46</v>
      </c>
      <c r="F2" s="12">
        <v>400</v>
      </c>
      <c r="G2" s="12" t="s">
        <v>47</v>
      </c>
      <c r="H2" s="13"/>
      <c r="I2" s="13"/>
      <c r="J2" s="14"/>
      <c r="K2" s="15" t="s">
        <v>48</v>
      </c>
      <c r="L2" s="13">
        <v>1E-3</v>
      </c>
      <c r="M2" s="13" t="s">
        <v>49</v>
      </c>
      <c r="N2" s="16">
        <v>0.73</v>
      </c>
      <c r="O2" s="14" t="s">
        <v>50</v>
      </c>
      <c r="P2" s="17" t="s">
        <v>51</v>
      </c>
      <c r="Q2" s="16">
        <v>0.24</v>
      </c>
      <c r="R2" s="14" t="s">
        <v>52</v>
      </c>
      <c r="S2" s="17" t="s">
        <v>53</v>
      </c>
      <c r="T2" s="13">
        <v>20.440000000000001</v>
      </c>
      <c r="U2" s="14" t="s">
        <v>54</v>
      </c>
      <c r="V2" s="9"/>
    </row>
    <row r="3" spans="1:22" x14ac:dyDescent="0.3">
      <c r="A3" s="9"/>
      <c r="B3" s="407" t="s">
        <v>55</v>
      </c>
      <c r="C3" s="408"/>
      <c r="D3" s="19"/>
      <c r="E3" s="19"/>
      <c r="F3" s="19"/>
      <c r="G3" s="19"/>
      <c r="H3" s="19" t="s">
        <v>56</v>
      </c>
      <c r="I3" s="19" t="s">
        <v>57</v>
      </c>
      <c r="J3" s="20"/>
      <c r="K3" s="9"/>
      <c r="L3" s="9"/>
      <c r="M3" s="9"/>
      <c r="N3" s="9"/>
      <c r="O3" s="21"/>
      <c r="P3" s="22"/>
      <c r="Q3" s="23"/>
      <c r="R3" s="21"/>
      <c r="S3" s="22"/>
      <c r="T3" s="9"/>
      <c r="U3" s="21"/>
      <c r="V3" s="9"/>
    </row>
    <row r="4" spans="1:22" x14ac:dyDescent="0.3">
      <c r="A4" s="9"/>
      <c r="B4" s="18">
        <v>1</v>
      </c>
      <c r="C4" s="19">
        <v>4</v>
      </c>
      <c r="D4" s="19">
        <f>C4*D2</f>
        <v>512</v>
      </c>
      <c r="E4" s="19" t="s">
        <v>46</v>
      </c>
      <c r="F4" s="19">
        <f>C4*F2</f>
        <v>1600</v>
      </c>
      <c r="G4" s="19" t="s">
        <v>47</v>
      </c>
      <c r="H4" s="24">
        <v>0.02</v>
      </c>
      <c r="I4" s="24">
        <v>0.02</v>
      </c>
      <c r="J4" s="25"/>
      <c r="K4" s="9">
        <v>30</v>
      </c>
      <c r="L4" s="23">
        <f>K4*L2</f>
        <v>0.03</v>
      </c>
      <c r="M4" s="9" t="s">
        <v>49</v>
      </c>
      <c r="N4" s="23">
        <f>K4*N2</f>
        <v>21.9</v>
      </c>
      <c r="O4" s="21" t="s">
        <v>50</v>
      </c>
      <c r="P4" s="22">
        <v>30</v>
      </c>
      <c r="Q4" s="23">
        <f>P4*Q2</f>
        <v>7.1999999999999993</v>
      </c>
      <c r="R4" s="21" t="s">
        <v>52</v>
      </c>
      <c r="S4" s="22">
        <v>1</v>
      </c>
      <c r="T4" s="9">
        <f>S4*T2</f>
        <v>20.440000000000001</v>
      </c>
      <c r="U4" s="21" t="s">
        <v>54</v>
      </c>
      <c r="V4" s="9"/>
    </row>
    <row r="5" spans="1:22" x14ac:dyDescent="0.3">
      <c r="A5" s="9"/>
      <c r="B5" s="18">
        <v>5</v>
      </c>
      <c r="C5" s="19">
        <v>14</v>
      </c>
      <c r="D5" s="19">
        <f>C5*D2</f>
        <v>1792</v>
      </c>
      <c r="E5" s="19" t="s">
        <v>46</v>
      </c>
      <c r="F5" s="19">
        <f>C5*F2</f>
        <v>5600</v>
      </c>
      <c r="G5" s="19" t="s">
        <v>47</v>
      </c>
      <c r="H5" s="24">
        <v>1.2999999999999999E-2</v>
      </c>
      <c r="I5" s="24">
        <v>1.4E-2</v>
      </c>
      <c r="J5" s="25"/>
      <c r="K5" s="9">
        <v>50</v>
      </c>
      <c r="L5" s="23">
        <f>K5*L2</f>
        <v>0.05</v>
      </c>
      <c r="M5" s="9" t="s">
        <v>49</v>
      </c>
      <c r="N5" s="23">
        <f>K5*N2</f>
        <v>36.5</v>
      </c>
      <c r="O5" s="21" t="s">
        <v>50</v>
      </c>
      <c r="P5" s="22">
        <v>50</v>
      </c>
      <c r="Q5" s="23">
        <f>P5*Q2</f>
        <v>12</v>
      </c>
      <c r="R5" s="21" t="s">
        <v>52</v>
      </c>
      <c r="S5" s="22">
        <v>2</v>
      </c>
      <c r="T5" s="9">
        <f>S5*T2</f>
        <v>40.880000000000003</v>
      </c>
      <c r="U5" s="21" t="s">
        <v>54</v>
      </c>
      <c r="V5" s="9"/>
    </row>
    <row r="6" spans="1:22" ht="15" thickBot="1" x14ac:dyDescent="0.35">
      <c r="A6" s="9"/>
      <c r="B6" s="18">
        <v>15</v>
      </c>
      <c r="C6" s="19">
        <v>30</v>
      </c>
      <c r="D6" s="19">
        <f>C6*D2</f>
        <v>3840</v>
      </c>
      <c r="E6" s="19" t="s">
        <v>46</v>
      </c>
      <c r="F6" s="19">
        <f>C6*F2</f>
        <v>12000</v>
      </c>
      <c r="G6" s="19" t="s">
        <v>47</v>
      </c>
      <c r="H6" s="24">
        <v>1.2E-2</v>
      </c>
      <c r="I6" s="24">
        <v>1.2999999999999999E-2</v>
      </c>
      <c r="J6" s="25"/>
      <c r="K6" s="9">
        <v>100</v>
      </c>
      <c r="L6" s="23">
        <f>K6*L2</f>
        <v>0.1</v>
      </c>
      <c r="M6" s="9" t="s">
        <v>49</v>
      </c>
      <c r="N6" s="23">
        <f>K6*N2</f>
        <v>73</v>
      </c>
      <c r="O6" s="21" t="s">
        <v>50</v>
      </c>
      <c r="P6" s="22">
        <v>100</v>
      </c>
      <c r="Q6" s="23">
        <f>P6*Q2</f>
        <v>24</v>
      </c>
      <c r="R6" s="21" t="s">
        <v>52</v>
      </c>
      <c r="S6" s="22"/>
      <c r="T6" s="9"/>
      <c r="U6" s="21"/>
      <c r="V6" s="9"/>
    </row>
    <row r="7" spans="1:22" x14ac:dyDescent="0.3">
      <c r="A7" s="9"/>
      <c r="B7" s="26"/>
      <c r="C7" s="27" t="s">
        <v>58</v>
      </c>
      <c r="D7" s="28" t="s">
        <v>59</v>
      </c>
      <c r="E7" s="27"/>
      <c r="F7" s="27" t="s">
        <v>60</v>
      </c>
      <c r="G7" s="28" t="s">
        <v>61</v>
      </c>
      <c r="H7" s="27" t="s">
        <v>62</v>
      </c>
      <c r="I7" s="27" t="s">
        <v>63</v>
      </c>
      <c r="J7" s="29" t="s">
        <v>64</v>
      </c>
      <c r="K7" s="9"/>
      <c r="L7" s="9"/>
      <c r="M7" s="9"/>
      <c r="N7" s="9"/>
      <c r="O7" s="21"/>
      <c r="P7" s="22"/>
      <c r="Q7" s="9"/>
      <c r="R7" s="21"/>
      <c r="S7" s="22"/>
      <c r="T7" s="9"/>
      <c r="U7" s="21"/>
      <c r="V7" s="9"/>
    </row>
    <row r="8" spans="1:22" x14ac:dyDescent="0.3">
      <c r="A8" s="9"/>
      <c r="B8" s="18"/>
      <c r="C8" s="19">
        <v>8</v>
      </c>
      <c r="D8" s="30">
        <f>(C8*$D$2)/1024</f>
        <v>1</v>
      </c>
      <c r="E8" s="19"/>
      <c r="F8" s="19">
        <f>(C8*$F$2)</f>
        <v>3200</v>
      </c>
      <c r="G8" s="30">
        <v>1</v>
      </c>
      <c r="H8" s="31">
        <f>C8*H4</f>
        <v>0.16</v>
      </c>
      <c r="I8" s="31">
        <f>H8*24</f>
        <v>3.84</v>
      </c>
      <c r="J8" s="32">
        <f>I8*30</f>
        <v>115.19999999999999</v>
      </c>
      <c r="K8" s="9"/>
      <c r="L8" s="9"/>
      <c r="M8" s="9"/>
      <c r="N8" s="9"/>
      <c r="O8" s="21"/>
      <c r="P8" s="22"/>
      <c r="Q8" s="9"/>
      <c r="R8" s="21"/>
      <c r="S8" s="22"/>
      <c r="T8" s="9"/>
      <c r="U8" s="21"/>
      <c r="V8" s="9"/>
    </row>
    <row r="9" spans="1:22" x14ac:dyDescent="0.3">
      <c r="A9" s="9"/>
      <c r="B9" s="18"/>
      <c r="C9" s="19">
        <f>C8*2</f>
        <v>16</v>
      </c>
      <c r="D9" s="30">
        <f>(C9*$D$2)/1024</f>
        <v>2</v>
      </c>
      <c r="E9" s="19"/>
      <c r="F9" s="19">
        <f>(C9*$F$2)</f>
        <v>6400</v>
      </c>
      <c r="G9" s="30">
        <v>2</v>
      </c>
      <c r="H9" s="31">
        <f>C9*H5</f>
        <v>0.20799999999999999</v>
      </c>
      <c r="I9" s="31">
        <f t="shared" ref="I9:I11" si="0">H9*24</f>
        <v>4.992</v>
      </c>
      <c r="J9" s="32">
        <f>I9*30</f>
        <v>149.76</v>
      </c>
      <c r="K9" s="9"/>
      <c r="L9" s="9"/>
      <c r="M9" s="9"/>
      <c r="N9" s="9"/>
      <c r="O9" s="21"/>
      <c r="P9" s="22"/>
      <c r="Q9" s="9"/>
      <c r="R9" s="21"/>
      <c r="S9" s="22"/>
      <c r="T9" s="9"/>
      <c r="U9" s="21"/>
      <c r="V9" s="9"/>
    </row>
    <row r="10" spans="1:22" x14ac:dyDescent="0.3">
      <c r="A10" s="9"/>
      <c r="B10" s="18"/>
      <c r="C10" s="19">
        <f>C9*2</f>
        <v>32</v>
      </c>
      <c r="D10" s="30">
        <f>(C10*$D$2)/1024</f>
        <v>4</v>
      </c>
      <c r="E10" s="19"/>
      <c r="F10" s="19">
        <f>(C10*$F$2)</f>
        <v>12800</v>
      </c>
      <c r="G10" s="30">
        <v>4</v>
      </c>
      <c r="H10" s="31">
        <f>C10*H6</f>
        <v>0.38400000000000001</v>
      </c>
      <c r="I10" s="31">
        <f>H10*24</f>
        <v>9.2160000000000011</v>
      </c>
      <c r="J10" s="32">
        <f>I10*30</f>
        <v>276.48</v>
      </c>
      <c r="K10" s="9"/>
      <c r="L10" s="9"/>
      <c r="M10" s="9"/>
      <c r="N10" s="9"/>
      <c r="O10" s="21"/>
      <c r="P10" s="22"/>
      <c r="Q10" s="9"/>
      <c r="R10" s="21"/>
      <c r="S10" s="22"/>
      <c r="T10" s="9"/>
      <c r="U10" s="21"/>
      <c r="V10" s="9"/>
    </row>
    <row r="11" spans="1:22" ht="15" thickBot="1" x14ac:dyDescent="0.35">
      <c r="A11" s="9"/>
      <c r="B11" s="33"/>
      <c r="C11" s="34">
        <f>C10*2</f>
        <v>64</v>
      </c>
      <c r="D11" s="35">
        <f>(C11*$D$2)/1024</f>
        <v>8</v>
      </c>
      <c r="E11" s="34"/>
      <c r="F11" s="34">
        <f>(C11*$F$2)</f>
        <v>25600</v>
      </c>
      <c r="G11" s="35">
        <v>8</v>
      </c>
      <c r="H11" s="36">
        <f>C11*H6</f>
        <v>0.76800000000000002</v>
      </c>
      <c r="I11" s="36">
        <f t="shared" si="0"/>
        <v>18.432000000000002</v>
      </c>
      <c r="J11" s="37">
        <f t="shared" ref="J11" si="1">I11*30</f>
        <v>552.96</v>
      </c>
      <c r="K11" s="38"/>
      <c r="L11" s="38"/>
      <c r="M11" s="38"/>
      <c r="N11" s="38"/>
      <c r="O11" s="39"/>
      <c r="P11" s="40"/>
      <c r="Q11" s="38"/>
      <c r="R11" s="39"/>
      <c r="S11" s="40"/>
      <c r="T11" s="38"/>
      <c r="U11" s="39"/>
      <c r="V11" s="9"/>
    </row>
    <row r="12" spans="1:22" ht="15" thickBot="1" x14ac:dyDescent="0.35">
      <c r="A12" s="9"/>
      <c r="B12" s="9"/>
      <c r="C12" s="9"/>
      <c r="D12" s="9"/>
      <c r="E12" s="9"/>
      <c r="F12" s="9"/>
      <c r="G12" s="9"/>
      <c r="H12" s="9"/>
      <c r="I12" s="9"/>
      <c r="J12" s="9"/>
      <c r="K12" s="9"/>
      <c r="L12" s="9"/>
      <c r="M12" s="9"/>
      <c r="N12" s="9"/>
      <c r="O12" s="9"/>
      <c r="P12" s="9"/>
      <c r="Q12" s="9"/>
      <c r="R12" s="9"/>
      <c r="S12" s="9"/>
      <c r="T12" s="9"/>
      <c r="U12" s="9"/>
      <c r="V12" s="9"/>
    </row>
    <row r="13" spans="1:22" x14ac:dyDescent="0.3">
      <c r="A13" s="9"/>
      <c r="B13" s="41" t="s">
        <v>65</v>
      </c>
      <c r="C13" s="42"/>
      <c r="D13" s="42"/>
      <c r="E13" s="42"/>
      <c r="F13" s="42" t="s">
        <v>66</v>
      </c>
      <c r="G13" s="42"/>
      <c r="H13" s="27" t="s">
        <v>67</v>
      </c>
      <c r="I13" s="27" t="s">
        <v>68</v>
      </c>
      <c r="J13" s="42"/>
      <c r="K13" s="42"/>
      <c r="L13" s="42"/>
      <c r="M13" s="42"/>
      <c r="N13" s="43" t="s">
        <v>69</v>
      </c>
      <c r="O13" s="9"/>
      <c r="P13" s="9"/>
      <c r="Q13" s="9"/>
      <c r="R13" s="9"/>
      <c r="S13" s="9"/>
      <c r="T13" s="9"/>
      <c r="U13" s="9"/>
      <c r="V13" s="9"/>
    </row>
    <row r="14" spans="1:22" x14ac:dyDescent="0.3">
      <c r="A14" s="9"/>
      <c r="B14" s="44" t="s">
        <v>70</v>
      </c>
      <c r="C14" s="9" t="s">
        <v>71</v>
      </c>
      <c r="D14" s="9">
        <v>1</v>
      </c>
      <c r="E14" s="9" t="s">
        <v>61</v>
      </c>
      <c r="F14" s="45">
        <f>J8</f>
        <v>115.19999999999999</v>
      </c>
      <c r="G14" s="9"/>
      <c r="H14" s="46">
        <v>60</v>
      </c>
      <c r="I14" s="47">
        <f>H14*N2</f>
        <v>43.8</v>
      </c>
      <c r="J14" s="9"/>
      <c r="K14" s="9"/>
      <c r="L14" s="9"/>
      <c r="M14" s="9"/>
      <c r="N14" s="48">
        <f>I14+F14</f>
        <v>159</v>
      </c>
      <c r="O14" s="9"/>
      <c r="P14" s="9"/>
      <c r="Q14" s="9"/>
      <c r="R14" s="9"/>
      <c r="S14" s="9"/>
      <c r="T14" s="9"/>
      <c r="U14" s="9"/>
      <c r="V14" s="9"/>
    </row>
    <row r="15" spans="1:22" x14ac:dyDescent="0.3">
      <c r="A15" s="9"/>
      <c r="B15" s="22" t="s">
        <v>72</v>
      </c>
      <c r="C15" s="9"/>
      <c r="D15" s="9"/>
      <c r="E15" s="9"/>
      <c r="F15" s="9"/>
      <c r="G15" s="9"/>
      <c r="H15" s="9"/>
      <c r="I15" s="9"/>
      <c r="J15" s="9"/>
      <c r="K15" s="9"/>
      <c r="L15" s="9"/>
      <c r="M15" s="9"/>
      <c r="N15" s="21"/>
      <c r="O15" s="9"/>
      <c r="P15" s="9"/>
      <c r="Q15" s="9"/>
      <c r="R15" s="9"/>
      <c r="S15" s="9"/>
      <c r="T15" s="9"/>
      <c r="U15" s="9"/>
      <c r="V15" s="9"/>
    </row>
    <row r="16" spans="1:22" ht="15" thickBot="1" x14ac:dyDescent="0.35">
      <c r="A16" s="9"/>
      <c r="B16" s="49" t="s">
        <v>73</v>
      </c>
      <c r="C16" s="38" t="s">
        <v>71</v>
      </c>
      <c r="D16" s="38">
        <v>4</v>
      </c>
      <c r="E16" s="38" t="s">
        <v>61</v>
      </c>
      <c r="F16" s="50">
        <f>J10</f>
        <v>276.48</v>
      </c>
      <c r="G16" s="38"/>
      <c r="H16" s="51">
        <v>100</v>
      </c>
      <c r="I16" s="52">
        <f>H16*N2</f>
        <v>73</v>
      </c>
      <c r="J16" s="38"/>
      <c r="K16" s="38"/>
      <c r="L16" s="38"/>
      <c r="M16" s="38"/>
      <c r="N16" s="53">
        <f>I16+F16</f>
        <v>349.48</v>
      </c>
      <c r="O16" s="9"/>
      <c r="P16" s="9"/>
      <c r="Q16" s="9"/>
      <c r="R16" s="9"/>
      <c r="S16" s="9"/>
      <c r="T16" s="9"/>
      <c r="U16" s="9"/>
      <c r="V16" s="9"/>
    </row>
    <row r="17" spans="1:22" x14ac:dyDescent="0.3">
      <c r="A17" s="9"/>
      <c r="B17" s="9"/>
      <c r="C17" s="9"/>
      <c r="D17" s="9"/>
      <c r="E17" s="9"/>
      <c r="F17" s="9"/>
      <c r="G17" s="9"/>
      <c r="H17" s="9"/>
      <c r="I17" s="9"/>
      <c r="J17" s="9"/>
      <c r="K17" s="9"/>
      <c r="L17" s="9"/>
      <c r="M17" s="9"/>
      <c r="N17" s="9"/>
      <c r="O17" s="9"/>
      <c r="P17" s="9"/>
      <c r="Q17" s="9"/>
      <c r="R17" s="9"/>
      <c r="S17" s="9"/>
      <c r="T17" s="9"/>
      <c r="U17" s="9"/>
      <c r="V17" s="9"/>
    </row>
    <row r="18" spans="1:22" ht="15" thickBot="1" x14ac:dyDescent="0.35">
      <c r="A18" s="9"/>
      <c r="B18" s="9"/>
      <c r="C18" s="9"/>
      <c r="D18" s="9"/>
      <c r="E18" s="9"/>
      <c r="F18" s="9"/>
      <c r="G18" s="9"/>
      <c r="H18" s="9"/>
      <c r="I18" s="9"/>
      <c r="J18" s="9"/>
      <c r="K18" s="9"/>
      <c r="L18" s="9"/>
      <c r="M18" s="9"/>
      <c r="N18" s="9"/>
      <c r="O18" s="9"/>
      <c r="P18" s="9"/>
      <c r="Q18" s="9"/>
      <c r="R18" s="9"/>
      <c r="S18" s="9"/>
      <c r="T18" s="9"/>
      <c r="U18" s="9"/>
      <c r="V18" s="9"/>
    </row>
    <row r="19" spans="1:22" x14ac:dyDescent="0.3">
      <c r="A19" s="9"/>
      <c r="B19" s="41" t="s">
        <v>74</v>
      </c>
      <c r="C19" s="42"/>
      <c r="D19" s="42"/>
      <c r="E19" s="42"/>
      <c r="F19" s="42" t="s">
        <v>66</v>
      </c>
      <c r="G19" s="42"/>
      <c r="H19" s="27" t="s">
        <v>67</v>
      </c>
      <c r="I19" s="27" t="s">
        <v>68</v>
      </c>
      <c r="J19" s="27"/>
      <c r="K19" s="27" t="s">
        <v>53</v>
      </c>
      <c r="L19" s="27"/>
      <c r="M19" s="27"/>
      <c r="N19" s="27" t="s">
        <v>69</v>
      </c>
      <c r="O19" s="27"/>
      <c r="P19" s="29" t="s">
        <v>75</v>
      </c>
      <c r="Q19" s="54" t="s">
        <v>76</v>
      </c>
      <c r="R19" s="9"/>
      <c r="S19" s="9"/>
      <c r="T19" s="9"/>
      <c r="U19" s="9"/>
      <c r="V19" s="9"/>
    </row>
    <row r="20" spans="1:22" x14ac:dyDescent="0.3">
      <c r="A20" s="9"/>
      <c r="B20" s="44" t="s">
        <v>77</v>
      </c>
      <c r="C20" s="9" t="s">
        <v>71</v>
      </c>
      <c r="D20" s="9">
        <v>2</v>
      </c>
      <c r="E20" s="9" t="s">
        <v>61</v>
      </c>
      <c r="F20" s="45">
        <f>J10</f>
        <v>276.48</v>
      </c>
      <c r="G20" s="9"/>
      <c r="H20" s="55">
        <v>30</v>
      </c>
      <c r="I20" s="19">
        <f>H20*N2</f>
        <v>21.9</v>
      </c>
      <c r="J20" s="19"/>
      <c r="K20" s="19">
        <f>T2</f>
        <v>20.440000000000001</v>
      </c>
      <c r="L20" s="19"/>
      <c r="M20" s="19"/>
      <c r="N20" s="56">
        <f>I20+F20+K20</f>
        <v>318.82</v>
      </c>
      <c r="O20" s="19"/>
      <c r="P20" s="57">
        <f>N20+N14</f>
        <v>477.82</v>
      </c>
      <c r="Q20" s="54">
        <v>6</v>
      </c>
      <c r="R20" s="9"/>
      <c r="S20" s="9"/>
      <c r="T20" s="9"/>
      <c r="U20" s="9"/>
      <c r="V20" s="9"/>
    </row>
    <row r="21" spans="1:22" x14ac:dyDescent="0.3">
      <c r="A21" s="9"/>
      <c r="B21" s="22" t="s">
        <v>72</v>
      </c>
      <c r="C21" s="9"/>
      <c r="D21" s="9"/>
      <c r="E21" s="9"/>
      <c r="F21" s="9"/>
      <c r="G21" s="9"/>
      <c r="H21" s="19"/>
      <c r="I21" s="19"/>
      <c r="J21" s="19"/>
      <c r="K21" s="19"/>
      <c r="L21" s="19"/>
      <c r="M21" s="19"/>
      <c r="N21" s="19"/>
      <c r="O21" s="19"/>
      <c r="P21" s="20"/>
      <c r="Q21" s="54"/>
      <c r="R21" s="9"/>
      <c r="S21" s="9"/>
      <c r="T21" s="9"/>
      <c r="U21" s="9"/>
      <c r="V21" s="9"/>
    </row>
    <row r="22" spans="1:22" ht="15" thickBot="1" x14ac:dyDescent="0.35">
      <c r="A22" s="9"/>
      <c r="B22" s="49" t="s">
        <v>78</v>
      </c>
      <c r="C22" s="38" t="s">
        <v>71</v>
      </c>
      <c r="D22" s="38">
        <v>2</v>
      </c>
      <c r="E22" s="38" t="s">
        <v>61</v>
      </c>
      <c r="F22" s="50">
        <f>J11</f>
        <v>552.96</v>
      </c>
      <c r="G22" s="38"/>
      <c r="H22" s="58">
        <v>30</v>
      </c>
      <c r="I22" s="34">
        <f>H22*N2</f>
        <v>21.9</v>
      </c>
      <c r="J22" s="34"/>
      <c r="K22" s="34">
        <f>T2</f>
        <v>20.440000000000001</v>
      </c>
      <c r="L22" s="34"/>
      <c r="M22" s="34"/>
      <c r="N22" s="59">
        <f>I22+F22+K22</f>
        <v>595.30000000000007</v>
      </c>
      <c r="O22" s="34"/>
      <c r="P22" s="60">
        <f>N22+N16</f>
        <v>944.78000000000009</v>
      </c>
      <c r="Q22" s="54">
        <v>10</v>
      </c>
      <c r="R22" s="9"/>
      <c r="S22" s="9"/>
      <c r="T22" s="9"/>
      <c r="U22" s="9"/>
      <c r="V22" s="9"/>
    </row>
    <row r="23" spans="1:22" x14ac:dyDescent="0.3">
      <c r="A23" s="9"/>
      <c r="B23" s="9"/>
      <c r="C23" s="9"/>
      <c r="D23" s="9"/>
      <c r="E23" s="9"/>
      <c r="F23" s="9"/>
      <c r="G23" s="9"/>
      <c r="H23" s="9"/>
      <c r="I23" s="9"/>
      <c r="J23" s="9"/>
      <c r="K23" s="9"/>
      <c r="L23" s="9"/>
      <c r="M23" s="9"/>
      <c r="N23" s="9"/>
      <c r="O23" s="9"/>
      <c r="P23" s="9"/>
      <c r="Q23" s="9"/>
      <c r="R23" s="9"/>
      <c r="S23" s="9"/>
      <c r="T23" s="9"/>
      <c r="U23" s="9"/>
      <c r="V23" s="9"/>
    </row>
    <row r="24" spans="1:22" x14ac:dyDescent="0.3">
      <c r="A24" s="9"/>
      <c r="B24" s="9" t="s">
        <v>79</v>
      </c>
      <c r="C24" s="9"/>
      <c r="D24" s="9"/>
      <c r="E24" s="19" t="s">
        <v>80</v>
      </c>
      <c r="F24" s="19" t="s">
        <v>81</v>
      </c>
      <c r="G24" s="9"/>
      <c r="H24" s="9"/>
      <c r="I24" s="9"/>
      <c r="J24" s="9"/>
      <c r="K24" s="9"/>
      <c r="L24" s="9"/>
      <c r="M24" s="9"/>
      <c r="N24" s="9"/>
      <c r="O24" s="9"/>
      <c r="P24" s="9"/>
      <c r="Q24" s="9"/>
      <c r="R24" s="9"/>
      <c r="S24" s="9"/>
      <c r="T24" s="9"/>
      <c r="U24" s="9"/>
      <c r="V24" s="9"/>
    </row>
    <row r="25" spans="1:22" x14ac:dyDescent="0.3">
      <c r="A25" s="9"/>
      <c r="B25" s="61">
        <v>32</v>
      </c>
      <c r="C25" s="9"/>
      <c r="D25" s="9"/>
      <c r="E25" s="9">
        <v>400</v>
      </c>
      <c r="F25" s="9">
        <v>128</v>
      </c>
      <c r="G25" s="9"/>
      <c r="H25" s="9"/>
      <c r="I25" s="9"/>
      <c r="J25" s="9"/>
      <c r="K25" s="9"/>
      <c r="L25" s="9"/>
      <c r="M25" s="9"/>
      <c r="N25" s="9"/>
      <c r="O25" s="9"/>
      <c r="P25" s="9"/>
      <c r="Q25" s="9"/>
      <c r="R25" s="9"/>
      <c r="S25" s="9"/>
      <c r="T25" s="9"/>
      <c r="U25" s="9"/>
      <c r="V25" s="9"/>
    </row>
    <row r="26" spans="1:22" x14ac:dyDescent="0.3">
      <c r="A26" s="9"/>
      <c r="B26" s="9"/>
      <c r="C26" s="9"/>
      <c r="D26" s="9"/>
      <c r="E26" s="9"/>
      <c r="F26" s="9"/>
      <c r="G26" s="9"/>
      <c r="H26" s="9"/>
      <c r="I26" s="9"/>
      <c r="J26" s="9"/>
      <c r="K26" s="9"/>
      <c r="L26" s="9"/>
      <c r="M26" s="9"/>
      <c r="N26" s="9"/>
      <c r="O26" s="9"/>
      <c r="P26" s="9"/>
      <c r="Q26" s="9"/>
      <c r="R26" s="9"/>
      <c r="S26" s="9"/>
      <c r="T26" s="9"/>
      <c r="U26" s="9"/>
      <c r="V26" s="9"/>
    </row>
    <row r="27" spans="1:22" x14ac:dyDescent="0.3">
      <c r="A27" s="9"/>
      <c r="B27" s="9" t="s">
        <v>82</v>
      </c>
      <c r="C27" s="9"/>
      <c r="D27" s="9"/>
      <c r="E27" s="9"/>
      <c r="F27" s="288">
        <v>35.799999999999997</v>
      </c>
      <c r="G27" s="9"/>
      <c r="H27" s="9"/>
      <c r="I27" s="9"/>
      <c r="J27" s="9"/>
      <c r="K27" s="9"/>
      <c r="L27" s="9"/>
      <c r="M27" s="9"/>
      <c r="N27" s="9"/>
      <c r="O27" s="9"/>
      <c r="P27" s="9"/>
      <c r="Q27" s="9"/>
      <c r="R27" s="9"/>
      <c r="S27" s="9"/>
      <c r="T27" s="9"/>
      <c r="U27" s="9"/>
      <c r="V27" s="9"/>
    </row>
    <row r="28" spans="1:22" x14ac:dyDescent="0.3">
      <c r="A28" s="9"/>
      <c r="B28" s="9"/>
      <c r="C28" s="9"/>
      <c r="D28" s="9"/>
      <c r="E28" s="9"/>
      <c r="F28" s="9"/>
      <c r="G28" s="9"/>
      <c r="H28" s="9"/>
      <c r="I28" s="9"/>
      <c r="J28" s="9"/>
      <c r="K28" s="9"/>
      <c r="L28" s="9"/>
      <c r="M28" s="9"/>
      <c r="N28" s="9"/>
      <c r="O28" s="9"/>
      <c r="P28" s="9"/>
      <c r="Q28" s="9"/>
      <c r="R28" s="9"/>
      <c r="S28" s="9"/>
      <c r="T28" s="9"/>
      <c r="U28" s="9"/>
      <c r="V28" s="9"/>
    </row>
    <row r="29" spans="1:22" x14ac:dyDescent="0.3">
      <c r="A29" s="9"/>
      <c r="B29" s="9" t="s">
        <v>83</v>
      </c>
      <c r="C29" s="9"/>
      <c r="D29" s="9"/>
      <c r="E29" s="9"/>
      <c r="F29" s="9"/>
      <c r="G29" s="9"/>
      <c r="H29" s="9"/>
      <c r="I29" s="9"/>
      <c r="J29" s="9"/>
      <c r="K29" s="9"/>
      <c r="L29" s="9"/>
      <c r="M29" s="9"/>
      <c r="N29" s="9"/>
      <c r="O29" s="9"/>
      <c r="P29" s="9"/>
      <c r="Q29" s="9"/>
      <c r="R29" s="9"/>
      <c r="S29" s="9"/>
      <c r="T29" s="9"/>
      <c r="U29" s="9"/>
      <c r="V29" s="9"/>
    </row>
    <row r="30" spans="1:22" x14ac:dyDescent="0.3">
      <c r="A30" s="9"/>
      <c r="B30" s="9"/>
      <c r="C30" s="9"/>
      <c r="D30" s="9"/>
      <c r="E30" s="9"/>
      <c r="F30" s="9"/>
      <c r="G30" s="9"/>
      <c r="H30" s="9"/>
      <c r="I30" s="9"/>
      <c r="J30" s="9"/>
      <c r="K30" s="9"/>
      <c r="L30" s="9"/>
      <c r="M30" s="9"/>
      <c r="N30" s="9"/>
      <c r="O30" s="9"/>
      <c r="P30" s="9"/>
      <c r="Q30" s="9"/>
      <c r="R30" s="9"/>
      <c r="S30" s="9"/>
      <c r="T30" s="9"/>
      <c r="U30" s="9"/>
      <c r="V30" s="9"/>
    </row>
    <row r="31" spans="1:22" x14ac:dyDescent="0.3">
      <c r="A31" s="9"/>
      <c r="B31" s="9" t="s">
        <v>84</v>
      </c>
      <c r="C31" s="9"/>
      <c r="D31" s="9"/>
      <c r="E31" s="9"/>
      <c r="F31" s="9"/>
      <c r="G31" s="9"/>
      <c r="H31" s="9"/>
      <c r="I31" s="9"/>
      <c r="J31" s="9"/>
      <c r="K31" s="9"/>
      <c r="L31" s="9"/>
      <c r="M31" s="9"/>
      <c r="N31" s="9"/>
      <c r="O31" s="9"/>
      <c r="P31" s="9"/>
      <c r="Q31" s="9"/>
      <c r="R31" s="9"/>
      <c r="S31" s="9"/>
      <c r="T31" s="9"/>
      <c r="U31" s="9"/>
      <c r="V31" s="9"/>
    </row>
    <row r="32" spans="1:22" x14ac:dyDescent="0.3">
      <c r="A32" s="9"/>
      <c r="B32" s="9" t="s">
        <v>85</v>
      </c>
      <c r="C32" s="9"/>
      <c r="D32" s="9"/>
      <c r="E32" s="9"/>
      <c r="F32" s="9"/>
      <c r="G32" s="9"/>
      <c r="H32" s="9"/>
      <c r="I32" s="9"/>
      <c r="J32" s="9"/>
      <c r="K32" s="9"/>
      <c r="L32" s="9"/>
      <c r="M32" s="9"/>
      <c r="N32" s="9"/>
      <c r="O32" s="9"/>
      <c r="P32" s="9"/>
      <c r="Q32" s="9"/>
      <c r="R32" s="9"/>
      <c r="S32" s="9"/>
      <c r="T32" s="9"/>
      <c r="U32" s="9"/>
      <c r="V32" s="9"/>
    </row>
    <row r="33" spans="1:22" x14ac:dyDescent="0.3">
      <c r="A33" s="9"/>
      <c r="B33" s="9"/>
      <c r="C33" s="9"/>
      <c r="D33" s="9"/>
      <c r="E33" s="9"/>
      <c r="F33" s="9"/>
      <c r="G33" s="9"/>
      <c r="H33" s="9"/>
      <c r="I33" s="9"/>
      <c r="J33" s="9"/>
      <c r="K33" s="9"/>
      <c r="L33" s="9"/>
      <c r="M33" s="9"/>
      <c r="N33" s="9"/>
      <c r="O33" s="9"/>
      <c r="P33" s="9"/>
      <c r="Q33" s="9"/>
      <c r="R33" s="9"/>
      <c r="S33" s="9"/>
      <c r="T33" s="9"/>
      <c r="U33" s="9"/>
      <c r="V33" s="9"/>
    </row>
    <row r="34" spans="1:22" x14ac:dyDescent="0.3">
      <c r="A34" s="9"/>
      <c r="B34" s="9" t="s">
        <v>86</v>
      </c>
      <c r="C34" s="9"/>
      <c r="D34" s="9"/>
      <c r="E34" s="9"/>
      <c r="F34" s="9"/>
      <c r="G34" s="9"/>
      <c r="H34" s="9"/>
      <c r="I34" s="9"/>
      <c r="J34" s="9"/>
      <c r="K34" s="9"/>
      <c r="L34" s="9"/>
      <c r="M34" s="9"/>
      <c r="N34" s="9"/>
      <c r="O34" s="9"/>
      <c r="P34" s="9"/>
      <c r="Q34" s="9"/>
      <c r="R34" s="9"/>
      <c r="S34" s="9"/>
      <c r="T34" s="9"/>
      <c r="U34" s="9"/>
      <c r="V34" s="9"/>
    </row>
    <row r="35" spans="1:22" x14ac:dyDescent="0.3">
      <c r="A35" s="9"/>
      <c r="B35" s="9" t="s">
        <v>87</v>
      </c>
      <c r="C35" s="9"/>
      <c r="D35" s="9"/>
      <c r="E35" s="9"/>
      <c r="F35" s="9"/>
      <c r="G35" s="9"/>
      <c r="H35" s="9"/>
      <c r="I35" s="9"/>
      <c r="J35" s="9"/>
      <c r="K35" s="9"/>
      <c r="L35" s="9"/>
      <c r="M35" s="9"/>
      <c r="N35" s="9"/>
      <c r="O35" s="9"/>
      <c r="P35" s="9"/>
      <c r="Q35" s="9"/>
      <c r="R35" s="9"/>
      <c r="S35" s="9"/>
      <c r="T35" s="9"/>
      <c r="U35" s="9"/>
      <c r="V35" s="9"/>
    </row>
    <row r="36" spans="1:22" x14ac:dyDescent="0.3">
      <c r="A36" s="9"/>
      <c r="B36" s="9" t="s">
        <v>88</v>
      </c>
      <c r="C36" s="9"/>
      <c r="D36" s="9"/>
      <c r="E36" s="9"/>
      <c r="F36" s="9"/>
      <c r="G36" s="9"/>
      <c r="H36" s="9"/>
      <c r="I36" s="9"/>
      <c r="J36" s="9"/>
      <c r="K36" s="9"/>
      <c r="L36" s="9"/>
      <c r="M36" s="9"/>
      <c r="N36" s="9"/>
      <c r="O36" s="9"/>
      <c r="P36" s="9"/>
      <c r="Q36" s="9"/>
      <c r="R36" s="9"/>
      <c r="S36" s="9"/>
      <c r="T36" s="9"/>
      <c r="U36" s="9"/>
      <c r="V36" s="9"/>
    </row>
    <row r="37" spans="1:22" x14ac:dyDescent="0.3">
      <c r="A37" s="9"/>
      <c r="B37" s="9" t="s">
        <v>89</v>
      </c>
      <c r="C37" s="9"/>
      <c r="D37" s="9"/>
      <c r="E37" s="9"/>
      <c r="F37" s="9"/>
      <c r="G37" s="9"/>
      <c r="H37" s="9"/>
      <c r="I37" s="9"/>
      <c r="J37" s="9"/>
      <c r="K37" s="9"/>
      <c r="L37" s="9"/>
      <c r="M37" s="9"/>
      <c r="N37" s="9"/>
      <c r="O37" s="9"/>
      <c r="P37" s="9"/>
      <c r="Q37" s="9"/>
      <c r="R37" s="9"/>
      <c r="S37" s="9"/>
      <c r="T37" s="9"/>
      <c r="U37" s="9"/>
      <c r="V37" s="9"/>
    </row>
    <row r="38" spans="1:22" x14ac:dyDescent="0.3">
      <c r="A38" s="9"/>
      <c r="B38" s="9"/>
      <c r="C38" s="9"/>
      <c r="D38" s="9"/>
      <c r="E38" s="9"/>
      <c r="F38" s="9"/>
      <c r="G38" s="9"/>
      <c r="H38" s="9"/>
      <c r="I38" s="9"/>
      <c r="J38" s="9"/>
      <c r="K38" s="9"/>
      <c r="L38" s="9"/>
      <c r="M38" s="9"/>
      <c r="N38" s="9"/>
      <c r="O38" s="9"/>
      <c r="P38" s="9"/>
      <c r="Q38" s="9"/>
      <c r="R38" s="9"/>
      <c r="S38" s="9"/>
      <c r="T38" s="9"/>
      <c r="U38" s="9"/>
      <c r="V38" s="9"/>
    </row>
    <row r="39" spans="1:22" x14ac:dyDescent="0.3">
      <c r="A39" s="9"/>
      <c r="B39" s="9"/>
      <c r="C39" s="9"/>
      <c r="D39" s="9"/>
      <c r="E39" s="9"/>
      <c r="F39" s="9"/>
      <c r="G39" s="9"/>
      <c r="H39" s="9"/>
      <c r="I39" s="9"/>
      <c r="J39" s="9"/>
      <c r="K39" s="9"/>
      <c r="L39" s="9"/>
      <c r="M39" s="9"/>
      <c r="N39" s="9"/>
      <c r="O39" s="9"/>
      <c r="P39" s="9"/>
      <c r="Q39" s="9"/>
      <c r="R39" s="9"/>
      <c r="S39" s="9"/>
      <c r="T39" s="9"/>
      <c r="U39" s="9"/>
      <c r="V39" s="9"/>
    </row>
  </sheetData>
  <mergeCells count="1">
    <mergeCell ref="B3:C3"/>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90597-33A3-472D-92C4-546DED0C7551}">
  <dimension ref="A1:E12"/>
  <sheetViews>
    <sheetView showGridLines="0" workbookViewId="0">
      <selection activeCell="E25" sqref="E25"/>
    </sheetView>
  </sheetViews>
  <sheetFormatPr defaultRowHeight="14.4" x14ac:dyDescent="0.3"/>
  <cols>
    <col min="1" max="1" width="11.6640625" bestFit="1" customWidth="1"/>
    <col min="3" max="3" width="10.88671875" bestFit="1" customWidth="1"/>
    <col min="4" max="4" width="12.109375" bestFit="1" customWidth="1"/>
    <col min="5" max="5" width="20.109375" bestFit="1" customWidth="1"/>
  </cols>
  <sheetData>
    <row r="1" spans="1:5" x14ac:dyDescent="0.3">
      <c r="A1" s="293" t="s">
        <v>281</v>
      </c>
      <c r="B1" s="293" t="s">
        <v>282</v>
      </c>
      <c r="C1" s="293" t="s">
        <v>24</v>
      </c>
      <c r="D1" s="293" t="s">
        <v>122</v>
      </c>
      <c r="E1" s="293" t="s">
        <v>293</v>
      </c>
    </row>
    <row r="2" spans="1:5" x14ac:dyDescent="0.3">
      <c r="A2" s="294" t="s">
        <v>286</v>
      </c>
      <c r="B2" s="294" t="s">
        <v>291</v>
      </c>
      <c r="C2" s="295">
        <v>1563.89</v>
      </c>
      <c r="D2" s="294">
        <v>1</v>
      </c>
      <c r="E2" s="297">
        <v>44354</v>
      </c>
    </row>
    <row r="3" spans="1:5" x14ac:dyDescent="0.3">
      <c r="A3" s="294" t="s">
        <v>283</v>
      </c>
      <c r="B3" s="294" t="s">
        <v>291</v>
      </c>
      <c r="C3" s="295">
        <v>974.2</v>
      </c>
      <c r="D3" s="294">
        <v>1</v>
      </c>
      <c r="E3" s="297">
        <v>44381</v>
      </c>
    </row>
    <row r="4" spans="1:5" x14ac:dyDescent="0.3">
      <c r="A4" s="294" t="s">
        <v>284</v>
      </c>
      <c r="B4" s="294" t="s">
        <v>291</v>
      </c>
      <c r="C4" s="295">
        <v>1271.1500000000001</v>
      </c>
      <c r="D4" s="294">
        <v>1</v>
      </c>
      <c r="E4" s="297">
        <v>44648</v>
      </c>
    </row>
    <row r="5" spans="1:5" x14ac:dyDescent="0.3">
      <c r="A5" s="294" t="s">
        <v>288</v>
      </c>
      <c r="B5" s="294" t="s">
        <v>291</v>
      </c>
      <c r="C5" s="295">
        <v>1400</v>
      </c>
      <c r="D5" s="294">
        <v>1</v>
      </c>
      <c r="E5" s="297">
        <v>45020</v>
      </c>
    </row>
    <row r="6" spans="1:5" x14ac:dyDescent="0.3">
      <c r="A6" s="294" t="s">
        <v>285</v>
      </c>
      <c r="B6" s="294" t="s">
        <v>291</v>
      </c>
      <c r="C6" s="295">
        <v>1400</v>
      </c>
      <c r="D6" s="294">
        <v>1</v>
      </c>
      <c r="E6" s="297">
        <v>45140</v>
      </c>
    </row>
    <row r="7" spans="1:5" x14ac:dyDescent="0.3">
      <c r="A7" s="294" t="s">
        <v>290</v>
      </c>
      <c r="B7" s="294" t="s">
        <v>291</v>
      </c>
      <c r="C7" s="295">
        <v>900</v>
      </c>
      <c r="D7" s="294">
        <v>1</v>
      </c>
      <c r="E7" s="297">
        <v>45257</v>
      </c>
    </row>
    <row r="8" spans="1:5" x14ac:dyDescent="0.3">
      <c r="A8" s="294" t="s">
        <v>287</v>
      </c>
      <c r="B8" s="294" t="s">
        <v>291</v>
      </c>
      <c r="C8" s="295">
        <v>1600</v>
      </c>
      <c r="D8" s="294">
        <v>1</v>
      </c>
      <c r="E8" s="297">
        <v>45365</v>
      </c>
    </row>
    <row r="9" spans="1:5" x14ac:dyDescent="0.3">
      <c r="A9" s="294" t="s">
        <v>289</v>
      </c>
      <c r="B9" s="294" t="s">
        <v>291</v>
      </c>
      <c r="C9" s="295">
        <v>972</v>
      </c>
      <c r="D9" s="294">
        <v>1</v>
      </c>
      <c r="E9" s="297">
        <v>45377</v>
      </c>
    </row>
    <row r="10" spans="1:5" x14ac:dyDescent="0.3">
      <c r="A10" s="294"/>
      <c r="B10" s="294"/>
      <c r="C10" s="293" t="s">
        <v>122</v>
      </c>
      <c r="D10" s="293">
        <f>SUM(D2:D9)</f>
        <v>8</v>
      </c>
    </row>
    <row r="11" spans="1:5" x14ac:dyDescent="0.3">
      <c r="A11" s="294"/>
      <c r="B11" s="294"/>
      <c r="C11" s="293" t="s">
        <v>292</v>
      </c>
      <c r="D11" s="296">
        <f>(C2*D2+C3*D3+C4*D4+C5*D5+C6*D6+C7*D7+C8*D8+C9*D9)/D10</f>
        <v>1260.155</v>
      </c>
    </row>
    <row r="12" spans="1:5" x14ac:dyDescent="0.3">
      <c r="C12" s="293" t="s">
        <v>292</v>
      </c>
      <c r="D12" s="93">
        <f>MEDIAN(C8:C9)</f>
        <v>1286</v>
      </c>
    </row>
  </sheetData>
  <sortState xmlns:xlrd2="http://schemas.microsoft.com/office/spreadsheetml/2017/richdata2" ref="A2:E9">
    <sortCondition ref="E2:E9"/>
  </sortState>
  <pageMargins left="0.511811024" right="0.511811024" top="0.78740157499999996" bottom="0.78740157499999996" header="0.31496062000000002" footer="0.31496062000000002"/>
  <ignoredErrors>
    <ignoredError sqref="D12"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B28B-7094-49F4-901B-318A93A83497}">
  <dimension ref="A1"/>
  <sheetViews>
    <sheetView workbookViewId="0">
      <selection activeCell="D10" sqref="D10"/>
    </sheetView>
  </sheetViews>
  <sheetFormatPr defaultColWidth="8.88671875" defaultRowHeight="14.4" x14ac:dyDescent="0.3"/>
  <cols>
    <col min="1" max="16384" width="8.88671875" style="337"/>
  </cols>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3</vt:i4>
      </vt:variant>
    </vt:vector>
  </HeadingPairs>
  <TitlesOfParts>
    <vt:vector size="17" baseType="lpstr">
      <vt:lpstr>2026</vt:lpstr>
      <vt:lpstr>CalculadoraComissão</vt:lpstr>
      <vt:lpstr>Cloud ICUS </vt:lpstr>
      <vt:lpstr>Cloud ICUS - Ref</vt:lpstr>
      <vt:lpstr>CalculadoraCloud</vt:lpstr>
      <vt:lpstr>CalculadoraAFV</vt:lpstr>
      <vt:lpstr>Descritivo Produtos</vt:lpstr>
      <vt:lpstr>Gatilhos de Contrato</vt:lpstr>
      <vt:lpstr>Regras</vt:lpstr>
      <vt:lpstr>Informativo Gestor</vt:lpstr>
      <vt:lpstr>PDV Marcelo</vt:lpstr>
      <vt:lpstr>Apoio</vt:lpstr>
      <vt:lpstr>PM BI</vt:lpstr>
      <vt:lpstr>||</vt:lpstr>
      <vt:lpstr>'2026'!Area_de_impressao</vt:lpstr>
      <vt:lpstr>CalculadoraCloud!Area_de_impressao</vt:lpstr>
      <vt:lpstr>'Descritivo Produtos'!Area_de_impressao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Souza</dc:creator>
  <cp:lastModifiedBy>Paulo Souza</cp:lastModifiedBy>
  <cp:lastPrinted>2025-01-10T17:36:52Z</cp:lastPrinted>
  <dcterms:created xsi:type="dcterms:W3CDTF">2023-09-13T18:08:56Z</dcterms:created>
  <dcterms:modified xsi:type="dcterms:W3CDTF">2026-04-24T19:27:23Z</dcterms:modified>
</cp:coreProperties>
</file>